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C2E6DE3-4F62-4DF1-8B34-4A1E7B4F403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ensors to Buy" sheetId="3" r:id="rId1"/>
    <sheet name="To order" sheetId="4" r:id="rId2"/>
    <sheet name="Components" sheetId="1" r:id="rId3"/>
    <sheet name="Power" sheetId="2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4" l="1"/>
  <c r="E4" i="4"/>
  <c r="E3" i="4"/>
  <c r="E2" i="4"/>
  <c r="E6" i="4" s="1"/>
  <c r="E18" i="3"/>
  <c r="E17" i="3"/>
  <c r="E43" i="3"/>
  <c r="E44" i="3"/>
  <c r="E45" i="3"/>
  <c r="E16" i="3"/>
  <c r="E10" i="3"/>
  <c r="E14" i="3"/>
  <c r="E15" i="3"/>
  <c r="E11" i="3"/>
  <c r="E12" i="3"/>
  <c r="E13" i="3"/>
  <c r="E3" i="3"/>
  <c r="E4" i="3"/>
  <c r="E5" i="3"/>
  <c r="E6" i="3"/>
  <c r="E7" i="3"/>
  <c r="E8" i="3"/>
  <c r="E9" i="3"/>
  <c r="E35" i="3"/>
  <c r="E36" i="3"/>
  <c r="E37" i="3"/>
  <c r="E39" i="3"/>
  <c r="E40" i="3"/>
  <c r="E41" i="3"/>
  <c r="E42" i="3"/>
  <c r="E2" i="3"/>
  <c r="E34" i="3" s="1"/>
</calcChain>
</file>

<file path=xl/sharedStrings.xml><?xml version="1.0" encoding="utf-8"?>
<sst xmlns="http://schemas.openxmlformats.org/spreadsheetml/2006/main" count="373" uniqueCount="252">
  <si>
    <t>Component</t>
  </si>
  <si>
    <t>P/N</t>
  </si>
  <si>
    <t>quantity</t>
  </si>
  <si>
    <t>price</t>
  </si>
  <si>
    <t>Total</t>
  </si>
  <si>
    <t>store link</t>
  </si>
  <si>
    <t>Owned/Unowned/Unsure</t>
  </si>
  <si>
    <t>Additional notes</t>
  </si>
  <si>
    <t>Datasheets/manual:</t>
  </si>
  <si>
    <t>DO meter</t>
  </si>
  <si>
    <t xml:space="preserve">ENV-20-DOX
</t>
  </si>
  <si>
    <t>https://www.digikey.com/en/products/detail/atlas-scientific/ENV-20-DOX/16003119</t>
  </si>
  <si>
    <t>owned</t>
  </si>
  <si>
    <t>https://kn.ariat-tech.com/datasheet/8a/ENV-20-DOX.pdf</t>
  </si>
  <si>
    <t>UW pressure meter</t>
  </si>
  <si>
    <t>Blue Robotics Bar High-Resolution Depth/Pressure Sensor (BAR30)</t>
  </si>
  <si>
    <t>https://bluerobotics.com/store/sensors-cameras/sensors/bar-depth-pressure-sensor/</t>
  </si>
  <si>
    <t>Needs to be Bar30 version</t>
  </si>
  <si>
    <t>https://cdn.robotshop.com/media/b/blu/rb-blu-237/pdf/bar30-high-resolution-300m-depth-pressure-sensor-r2-datasheet.pdf</t>
  </si>
  <si>
    <t>leak sensor</t>
  </si>
  <si>
    <t>1597-1127-ND</t>
  </si>
  <si>
    <t>https://www.digikey.com/en/products/detail/seeed-technology-co-ltd/101020018/5482605?gclsrc=aw.ds&amp;gad_source=1&amp;gad_campaignid=20243136172&amp;gclid=Cj0KCQjw37nNBhDkARIsAEBGI8PTWsrKNkH-E9EQqKj3WkQTKLhGxV9E5uiblp67sjod2sAGo6qXlYUaAqLsEALw_wcB</t>
  </si>
  <si>
    <t>Owned</t>
  </si>
  <si>
    <t>https://mm.digikey.com/Volume0/opasdata/d220001/medias/docus/872/101020018_Web.pdf https://bluerobotics.com/store/sensors-cameras/sensors/bar-depth-pressure-sensor/</t>
  </si>
  <si>
    <t>camera</t>
  </si>
  <si>
    <t>SC0872</t>
  </si>
  <si>
    <t>https://www.newark.com/raspberry-pi/sc0872/rpi-camera-mod-3-standard-lens/dp/62AK8682?CMP=KNC-GUSA-GEN-PMAX-Shopping-New&amp;gad_source=1&amp;gad_campaignid=21110543169&amp;gclid=Cj0KCQjw37nNBhDkARIsAEBGI8N-DlXMqoTI198bPRv6XIzL6dK66X4MEhDOlAwe5WeBC6azIkGzfkYaAtpaEALw_wcB</t>
  </si>
  <si>
    <t>https://www.raspberrypi.com/documentation/accessories/camera.html</t>
  </si>
  <si>
    <t>Conductivity meter</t>
  </si>
  <si>
    <t>ENV-20-EC-K1.0</t>
  </si>
  <si>
    <t>https://www.digikey.com/en/products/detail/atlas-scientific/ENV-20-EC-K1-0/16003011</t>
  </si>
  <si>
    <t>https://files.atlas-scientific.com/EC_K_1.0_probe.pdf</t>
  </si>
  <si>
    <t>GPS</t>
  </si>
  <si>
    <t>ULTIMATE GPS FEATHERWING MTK3339</t>
  </si>
  <si>
    <t>https://www.digikey.com/en/products/detail/adafruit-industries-llc/3133/6047744</t>
  </si>
  <si>
    <t>https://cdn-learn.adafruit.com/downloads/pdf/adafruit-ultimate-gps-featherwing.pdf</t>
  </si>
  <si>
    <t>WiFi HaLow Eval kit</t>
  </si>
  <si>
    <t xml:space="preserve">MM8108-EKH19-01 </t>
  </si>
  <si>
    <t>https://www.mouser.com/ProductDetail/Morse-Micro/MM8108-EKH19-01?qs=HMhDvBYWqvOSMbg%2FkiOXMw%3D%3D</t>
  </si>
  <si>
    <t>Own 1, but need 2 new for implementation</t>
  </si>
  <si>
    <t>https://www.morsemicro.com/resources/product_brief/MM8108-EKH19-Product-Brief.pdf</t>
  </si>
  <si>
    <t>IMU</t>
  </si>
  <si>
    <t xml:space="preserve">Fermion: 10 DOF IMU Sensor - ADXL345+ITG3205+VCM5883L+BMP280 </t>
  </si>
  <si>
    <t>https://www.dfrobot.com/product-818.html?gad_source=4&amp;gad_campaignid=23441887437&amp;gclid=Cj0KCQjw37nNBhDkARIsAEBGI8M92nN730xmX8CR-Ez68kU65ITD8ZRGHRoiGMUsLXOXDDsVIiw81V4aAmImEALw_wcB</t>
  </si>
  <si>
    <t>unowned</t>
  </si>
  <si>
    <t>Not Needed (for now)</t>
  </si>
  <si>
    <t>Datasheet links on store page as downloadable pdf</t>
  </si>
  <si>
    <t>Temperature meter</t>
  </si>
  <si>
    <t>SNS-TMP-DS18B20-MAXIM</t>
  </si>
  <si>
    <t>https://www.dfrobot.com/product-689.html?gad_source=1&amp;gad_campaignid=23441887437&amp;gclid=Cj0KCQjw9-PNBhDfARIsABHN6-06NXcaXmo9XxefRDsltO_3ZPnYl0qIgSLFVGwf_PReuSPBiF0XeL8aAoIKEALw_wcB</t>
  </si>
  <si>
    <t>Unowned</t>
  </si>
  <si>
    <t>Replaced w/pressure meter</t>
  </si>
  <si>
    <t>https://www.analog.com/media/en/technical-documentation/data-sheets/ds18b20.pdf</t>
  </si>
  <si>
    <t>Raspberry Pi 5 Compute Module</t>
  </si>
  <si>
    <t>SC1571</t>
  </si>
  <si>
    <t>https://www.digikey.com/en/products/detail/raspberry-pi/SC1571/25805583</t>
  </si>
  <si>
    <t>https://pip-assets.raspberrypi.com/categories/944-raspberry-pi-compute-module-5/documents/RP-008180-DS-6-cm5-datasheet.pdf?disposition=inline</t>
  </si>
  <si>
    <t>RPi 5 Carrier Board</t>
  </si>
  <si>
    <t>SC1967</t>
  </si>
  <si>
    <t>https://www.digikey.com/en/products/detail/raspberry-pi/SC1967/25862723</t>
  </si>
  <si>
    <t>https://pip-assets.raspberrypi.com/categories/1097-raspberry-pi-compute-module-5-io-board/documents/RP-008182-DS-2-cm5io-datasheet.pdf?disposition=inline</t>
  </si>
  <si>
    <t>PJRC Teensy 4.1 Development Board</t>
  </si>
  <si>
    <t>Product ID: 4622</t>
  </si>
  <si>
    <t>https://www.adafruit.com/product/4622?srsltid=AfmBOooU6ewNtscyLkV7OXAUldI0W1hDH5n7WsOuya1We10Yk2aYz48X</t>
  </si>
  <si>
    <t>Need one more</t>
  </si>
  <si>
    <t>https://www.pjrc.com/store/teensy41.html</t>
  </si>
  <si>
    <t>OEM Simple Development Board</t>
  </si>
  <si>
    <t>#OEM-SDB</t>
  </si>
  <si>
    <t>https://atlas-scientific.com/carrier-boards/oem-simple-development-board/?srsltid=AfmBOor-IhZZQKjohu168JkC4-2suSqs2t9owACdXMooHvCFWom9RLwa</t>
  </si>
  <si>
    <t>DO meter breakout board</t>
  </si>
  <si>
    <t>https://files.atlas-scientific.com/oem-dev-board.pdf</t>
  </si>
  <si>
    <t>EZO™ Conductivity Circuit</t>
  </si>
  <si>
    <t xml:space="preserve">#EZO-EC </t>
  </si>
  <si>
    <t>https://atlas-scientific.com/embedded-solutions/ezo-conductivity-circuit/?srsltid=AfmBOopebnX7egK0AiGvLEsMOsMgQfOWAn26gaIdl_7AtSbdGawo3fWS</t>
  </si>
  <si>
    <t>Conductivity meter breakout board</t>
  </si>
  <si>
    <t>https://download.mikroe.com/documents/datasheets/EZO-EC_datasheet.pdf</t>
  </si>
  <si>
    <t xml:space="preserve">
EZO™ Dissolved Oxygen Circuit
</t>
  </si>
  <si>
    <t xml:space="preserve">#EZO-DO </t>
  </si>
  <si>
    <t>https://atlas-scientific.com/embedded-solutions/ezo-dissolved-oxygen-circuit/</t>
  </si>
  <si>
    <t xml:space="preserve">Unowned </t>
  </si>
  <si>
    <t>https://files.atlas-scientific.com/DO_EZO_Datasheet.pdf</t>
  </si>
  <si>
    <t>Pi power supplies</t>
  </si>
  <si>
    <t>Geekworm PD 27W 5.1V 5A USB-C Power Supply for Raspberry Pi 5</t>
  </si>
  <si>
    <t>https://www.amazon.com/Geekworm-USB-C-Power-Supply-Raspberry/dp/B0FGN6Q8BC/ref=sr_1_3?crid=HQ1LVK23B162&amp;dib=eyJ2IjoiMSJ9.Mt_d3MWBMsocNk4yBE2DX8ICgPZ3hvOFK6PHOhafR7aOMfG07O6mTRDnIiayX8Tvb7xPD9H6RPjHpdjQ_0fTmgNY01zrWjdKqdeEWxU5OdemMFv1dYo4zvlreOKmF8OcssaFvdspp9bNP6X-8LdivKbhgIZKlldCH2PN4RSg4AfMAUZw4o5Doz2WJx1imchj-M3m8HIVGAhCSF11KS7UnMupqIdc_QMUziDCazGbgmA.7qUkFZAA7mJn0F8fv4sOkNBIxM613u-cXxq73pXKpaI&amp;dib_tag=se&amp;keywords=6ft+5v%2F5a+usb-c+power+supply&amp;qid=1781198799&amp;sprefix=6ft+5v%2F5a+usb-c+power+supply%2Caps%2C104&amp;sr=8-3</t>
  </si>
  <si>
    <t>CM5 Heat Dissipators</t>
  </si>
  <si>
    <t>https://www.pishop.ca/product/raspberry-pi-compute-module-5-passive-cooler/</t>
  </si>
  <si>
    <t>Container components</t>
  </si>
  <si>
    <t>Electronics</t>
  </si>
  <si>
    <t>Add'l</t>
  </si>
  <si>
    <t>Watertight Enclosure Seals (8IN)</t>
  </si>
  <si>
    <t xml:space="preserve">SKU: BR-100837
</t>
  </si>
  <si>
    <t>https://bluerobotics.com/store/watertight-enclosures/non-locking-series/wte8-o-ring-set-r1/</t>
  </si>
  <si>
    <t>Watertight Enclosure Seals (4IN)</t>
  </si>
  <si>
    <t xml:space="preserve">SKU: BR-100176
</t>
  </si>
  <si>
    <t>https://bluerobotics.com/store/watertight-enclosures/locking-series/spare-o-ring-set/</t>
  </si>
  <si>
    <t>acrylic end-cap(8IN enclosures) lid link</t>
  </si>
  <si>
    <t xml:space="preserve">SKU: BR-102206-007
</t>
  </si>
  <si>
    <t>End Caps and Flange Caps for Subsea Watertight Enclosures</t>
  </si>
  <si>
    <t>Watertight Enclosure lid(4IN) 5xm10 Hole</t>
  </si>
  <si>
    <t>SKU: BR-102933-005</t>
  </si>
  <si>
    <t>https://bluerobotics.com/store/watertight-enclosures/locking-series/wte-end-cap-vp/</t>
  </si>
  <si>
    <t>Needs to be 100mm(4IN) and Aluminum 5x10 hole (1000m)</t>
  </si>
  <si>
    <t>Watertight Enclosure tube (4IN)</t>
  </si>
  <si>
    <t xml:space="preserve">SKU: BR-100665
</t>
  </si>
  <si>
    <t>O-ring Flange for Custom Underwater Housings</t>
  </si>
  <si>
    <t>Watertight Penetrators</t>
  </si>
  <si>
    <t xml:space="preserve">SKU: BR-101086
</t>
  </si>
  <si>
    <t>Potted Cable Penetrator for Subsea Electrical Cables</t>
  </si>
  <si>
    <t xml:space="preserve">Need to be 6mm </t>
  </si>
  <si>
    <t>Enclosure Vent Valve (8IN Enclosure)</t>
  </si>
  <si>
    <t>SKU: BR-100783</t>
  </si>
  <si>
    <t>https://bluerobotics.com/store/watertight-enclosures/enclosure-tools-supplies/vent-asm-r1/</t>
  </si>
  <si>
    <t>Enclosure Vent Valve (4IN Enclosure):</t>
  </si>
  <si>
    <t>SKU: BR-100804</t>
  </si>
  <si>
    <t>Pressure Relief Valve (PRV)</t>
  </si>
  <si>
    <t xml:space="preserve">Enclosure Seal lubricant </t>
  </si>
  <si>
    <t>SKU: BR-100558</t>
  </si>
  <si>
    <t>https://bluerobotics.com/store/watertight-enclosures/enclosure-tools-supplies/molykote/</t>
  </si>
  <si>
    <t>Enclosure vacuum plug</t>
  </si>
  <si>
    <t>SKU: BR- 101118</t>
  </si>
  <si>
    <t>https://bluerobotics.com/store/watertight-enclosures/enclosure-tools-supplies/vacuum-plug/?add-to-cart=136035</t>
  </si>
  <si>
    <t>Enclosure pressure gun</t>
  </si>
  <si>
    <t>SKU: BR - 100297</t>
  </si>
  <si>
    <t>https://bluerobotics.com/store/watertight-enclosures/enclosure-tools-supplies/vacuum-pump-kit-r2-rp/</t>
  </si>
  <si>
    <t>Item</t>
  </si>
  <si>
    <t>Quanity</t>
  </si>
  <si>
    <t>Unit Price (Rounded)</t>
  </si>
  <si>
    <t>Store Link</t>
  </si>
  <si>
    <t>Total:</t>
  </si>
  <si>
    <t>Name</t>
  </si>
  <si>
    <t>Amount</t>
  </si>
  <si>
    <t>Unit Cost:</t>
  </si>
  <si>
    <t>Raspberry Pi 5 8 GB</t>
  </si>
  <si>
    <t>x</t>
  </si>
  <si>
    <t>2x</t>
  </si>
  <si>
    <t>Popoto PMM4511 Breakout Board</t>
  </si>
  <si>
    <t>Popoto PMM4511 UW-A</t>
  </si>
  <si>
    <t>Luma-X UV Bare UW-O Unit</t>
  </si>
  <si>
    <t>1x</t>
  </si>
  <si>
    <t>Luma-X UV cased UW-O Unit</t>
  </si>
  <si>
    <t>Luma-X UV Breakout Connector</t>
  </si>
  <si>
    <t>25 ft HDMI Cord</t>
  </si>
  <si>
    <t>Amazon Basics HDMI Cable, 25ft, 4K@60Hz</t>
  </si>
  <si>
    <t>HDMI-MicroHDMI Adapter</t>
  </si>
  <si>
    <t>Raspberry Pi SC0726</t>
  </si>
  <si>
    <t>Ethernet Cables</t>
  </si>
  <si>
    <t>Cable Matters 10Gbps 5-Pack Snagless Short Cat 6 Ethernet Cable - 1ft</t>
  </si>
  <si>
    <t>4x</t>
  </si>
  <si>
    <t>18 AWG power wires</t>
  </si>
  <si>
    <t>18 Gauge Wire, 18 AWG 2 Conductor Electrical Wire</t>
  </si>
  <si>
    <t>BlueRobotics-LI-4S-15.6Ah</t>
  </si>
  <si>
    <t>Camera option #1</t>
  </si>
  <si>
    <t>pi module 3</t>
  </si>
  <si>
    <t>Camera option #2</t>
  </si>
  <si>
    <t>Arducam Pi Camera</t>
  </si>
  <si>
    <t>Camera option #3</t>
  </si>
  <si>
    <t>innomaker</t>
  </si>
  <si>
    <t>DS18B20 Temperature Sensor</t>
  </si>
  <si>
    <t>BOJACK</t>
  </si>
  <si>
    <t>Conductivity sensor</t>
  </si>
  <si>
    <t>Garosa Water Conductivity Sensor</t>
  </si>
  <si>
    <t>Dissolved oxygen Sensor</t>
  </si>
  <si>
    <t>Gravity Analog Dissolved Oxygen Meter</t>
  </si>
  <si>
    <t>Embedded PCB Components:</t>
  </si>
  <si>
    <t>Per PCB:</t>
  </si>
  <si>
    <t>XT30PW (J6)</t>
  </si>
  <si>
    <t>4A Fuse (F1)</t>
  </si>
  <si>
    <t>Bel Fuse Inc. 0697H4000-01</t>
  </si>
  <si>
    <t>YO0401500000G (J3)</t>
  </si>
  <si>
    <t>Amphenol Anytek YO0401500000G</t>
  </si>
  <si>
    <t>MC14043B (U3A)</t>
  </si>
  <si>
    <t>ONSEMI CMOS MSI Quad R-S Latches</t>
  </si>
  <si>
    <t>59155 (SW1)</t>
  </si>
  <si>
    <t>59155 Subminiature Flange Mount Reed Sensor</t>
  </si>
  <si>
    <t>TPS565208 (U1)</t>
  </si>
  <si>
    <t>TI TPS565208 4.5-V to 17-V Input, 5-A Synchronous Step-Down Voltage Regulator in SOT-23</t>
  </si>
  <si>
    <t>1N4148WT (D1)</t>
  </si>
  <si>
    <t>ONSEMI 1N4148WT diode</t>
  </si>
  <si>
    <t>SMF36A (D2)</t>
  </si>
  <si>
    <t>Littelfuse TVS SMF 36V Uni, 7'' T&amp;R | Series: SMF</t>
  </si>
  <si>
    <t>LED (D3)</t>
  </si>
  <si>
    <t>Generic (Green)</t>
  </si>
  <si>
    <t>LED (D4)</t>
  </si>
  <si>
    <t>Generic (Blue)</t>
  </si>
  <si>
    <t>FQD11P06TM (Q1)</t>
  </si>
  <si>
    <t>MOSFETs TO-252 DPAK P-CH 60V</t>
  </si>
  <si>
    <t>BSS138LT1 (Q2)</t>
  </si>
  <si>
    <t>MOSFETs 50V 200mA N-Channel</t>
  </si>
  <si>
    <t>55k Resistor (R1)</t>
  </si>
  <si>
    <t>Generic</t>
  </si>
  <si>
    <t>10k Resistor (R2, R5, R6, R9)</t>
  </si>
  <si>
    <t>6.8k Resistor (R10)</t>
  </si>
  <si>
    <t>680 Resistor (R3, R8)</t>
  </si>
  <si>
    <t>330 Resistor (R4, R7)</t>
  </si>
  <si>
    <t>10uF +/- Capacitor (C1, C6)</t>
  </si>
  <si>
    <t>22uF +/- Capacitor (C2)</t>
  </si>
  <si>
    <t>100nF Capacitor (C3, C4)</t>
  </si>
  <si>
    <t>3.3uH Inductor (L1)</t>
  </si>
  <si>
    <t>Usage</t>
  </si>
  <si>
    <t>Voltage (V)</t>
  </si>
  <si>
    <t>Passive power consumption (Receiving/Idling) (W)</t>
  </si>
  <si>
    <t>Current Draw (mA)</t>
  </si>
  <si>
    <t>Active power consumption (Transmitting/Computing) (W)</t>
  </si>
  <si>
    <t>Active Duty Cycle %</t>
  </si>
  <si>
    <t>Average Power Consumption (W)</t>
  </si>
  <si>
    <t>Contingency %</t>
  </si>
  <si>
    <t>Total Power Consumption (W):</t>
  </si>
  <si>
    <t>Additional Notes</t>
  </si>
  <si>
    <t>Luma-X UV</t>
  </si>
  <si>
    <t>KnifeBot/Demo</t>
  </si>
  <si>
    <t>12-36V, using 24V</t>
  </si>
  <si>
    <t>2-17 (9.5 Avg)</t>
  </si>
  <si>
    <t>83.33-708 (395 Avg)</t>
  </si>
  <si>
    <t>~60% for transmitting video streaming data</t>
  </si>
  <si>
    <t>Based on calculations from provided manual/datasheet (See sources)</t>
  </si>
  <si>
    <t>Popoto PMM4511</t>
  </si>
  <si>
    <t>14-40V, using 24V</t>
  </si>
  <si>
    <t>3.1-10 (6.55 Avg) (based on sound dB from transducer)</t>
  </si>
  <si>
    <t>129-416 (273 Avg)</t>
  </si>
  <si>
    <t>~10% for sensor data transmission/Up to 70% if UW-O cannot effectively transmit</t>
  </si>
  <si>
    <t>1.47/4.95</t>
  </si>
  <si>
    <t>1.6/5.45</t>
  </si>
  <si>
    <t>Raspberry Pi5</t>
  </si>
  <si>
    <t>5V</t>
  </si>
  <si>
    <t>~4.5 (based on CPU load of processing heavy data)</t>
  </si>
  <si>
    <t>~20% for processing heavy amounts of data</t>
  </si>
  <si>
    <t>Requires 5V/5A USB-C supply. Some information gathered from unofficial sources due to no official information provided (See sources)</t>
  </si>
  <si>
    <t>Raspberry Pi camera module 3</t>
  </si>
  <si>
    <t>Demo</t>
  </si>
  <si>
    <t>Nominal</t>
  </si>
  <si>
    <t>1.25 while streaming</t>
  </si>
  <si>
    <t>~95% for a constant video stream</t>
  </si>
  <si>
    <t>Some information gathered from unofficial sources due to no official information provided (See sources)</t>
  </si>
  <si>
    <t>Waterproof DS18B20 Digital Temperature Sensor</t>
  </si>
  <si>
    <t>Total Average power consumption per unit (Typical UW-O &amp; UW-A operation): 14W</t>
  </si>
  <si>
    <t>BlueRobotics LI-4S Battery: 266Wh</t>
  </si>
  <si>
    <t>Total operation time before drainage: 19 hours</t>
  </si>
  <si>
    <t>Sources:</t>
  </si>
  <si>
    <t>Popoto PMM4511:</t>
  </si>
  <si>
    <t>https://www.popotomodem.com/static/ca0f73484914bd9f3810e274074fa2e9/PMM4511-Technical-Specifications.pdf</t>
  </si>
  <si>
    <t>https://www.popotomodem.com/documentation/</t>
  </si>
  <si>
    <t>Luma-X:</t>
  </si>
  <si>
    <t>https://files.hydromea.com/luma/LUMA_X-UV.pdf</t>
  </si>
  <si>
    <t>https://files.hydromea.com/luma/LUMA_X_and_LUMA_X-UV_manual.pdf</t>
  </si>
  <si>
    <t>Raspberry Pi 5:</t>
  </si>
  <si>
    <t>https://pip-assets.raspberrypi.com/categories/892-raspberry-pi-5/documents/RP-008348-DS-5-raspberry-pi-5-product-brief.pdf?disposition=inline</t>
  </si>
  <si>
    <t>https://www.jeffgeerling.com/blog/2024/new-2gb-pi-5-has-33-smaller-die-30-idle-power-savings/</t>
  </si>
  <si>
    <t>https://www.origin-ic.com/blog/raspberry-pi-5-8gb/47752#heading-4</t>
  </si>
  <si>
    <t>Raspberry Pi camera module 3:</t>
  </si>
  <si>
    <t>https://www.reddit.com/r/raspberry_pi/comments/1mc4x4g/anyone_know_the_power_consumption_of_the_pi/</t>
  </si>
  <si>
    <t>DS18B20 Digital Temperature Sensor:</t>
  </si>
  <si>
    <t>https://mm.digikey.com/Volume0/opasdata/d220001/medias/docus/3786/DFR0198_Web.pdf?_gl=1*1fd97dm*_up*MQ..*_gs*MQ..&amp;gclid=CjwKCAiAv5bMBhAIEiwAqP9GuBc7NiEYX_ShZ1wMVQdnN_JMnvpAbU05ZdtqLH4d0YSUS8pLL2llRRoC3JQQAvD_BwE&amp;gclsrc=aw.ds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</si>
</sst>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$-409]#,##0.00;[Red]\-[$$-409]#,##0.00"/>
  </numFmts>
  <fonts count="13">
    <font>
      <sz val="10"/>
      <color theme="1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u/>
      <sz val="10"/>
      <color rgb="FF0563C1"/>
      <name val="Arial"/>
      <family val="2"/>
      <charset val="1"/>
    </font>
    <font>
      <sz val="11"/>
      <color rgb="FF0F1111"/>
      <name val="Amazon Ember"/>
      <charset val="1"/>
    </font>
    <font>
      <sz val="10"/>
      <color rgb="FF000000"/>
      <name val="Aptos"/>
      <charset val="1"/>
    </font>
    <font>
      <sz val="10"/>
      <color rgb="FF1D252C"/>
      <name val="Roboto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F111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8">
    <xf numFmtId="0" fontId="0" fillId="0" borderId="0"/>
    <xf numFmtId="0" fontId="9" fillId="0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1" fillId="5" borderId="0" applyBorder="0" applyProtection="0"/>
    <xf numFmtId="0" fontId="1" fillId="5" borderId="0" applyBorder="0" applyProtection="0"/>
    <xf numFmtId="0" fontId="4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8" fillId="0" borderId="0" applyBorder="0" applyProtection="0"/>
    <xf numFmtId="0" fontId="8" fillId="0" borderId="0" applyBorder="0" applyProtection="0"/>
  </cellStyleXfs>
  <cellXfs count="51">
    <xf numFmtId="0" fontId="0" fillId="0" borderId="0" xfId="0"/>
    <xf numFmtId="0" fontId="3" fillId="0" borderId="1" xfId="11" applyBorder="1" applyProtection="1"/>
    <xf numFmtId="0" fontId="3" fillId="0" borderId="2" xfId="11" applyBorder="1" applyProtection="1"/>
    <xf numFmtId="0" fontId="3" fillId="0" borderId="3" xfId="11" applyBorder="1" applyProtection="1"/>
    <xf numFmtId="0" fontId="3" fillId="0" borderId="0" xfId="11" applyBorder="1" applyProtection="1"/>
    <xf numFmtId="164" fontId="3" fillId="0" borderId="3" xfId="11" applyNumberFormat="1" applyBorder="1" applyProtection="1"/>
    <xf numFmtId="0" fontId="3" fillId="0" borderId="3" xfId="11" applyBorder="1" applyAlignment="1" applyProtection="1">
      <alignment horizontal="right"/>
    </xf>
    <xf numFmtId="164" fontId="3" fillId="0" borderId="3" xfId="11" applyNumberFormat="1" applyBorder="1" applyAlignment="1" applyProtection="1">
      <alignment horizontal="right"/>
    </xf>
    <xf numFmtId="0" fontId="3" fillId="0" borderId="2" xfId="11" applyBorder="1" applyAlignment="1" applyProtection="1">
      <alignment wrapText="1"/>
    </xf>
    <xf numFmtId="0" fontId="9" fillId="0" borderId="0" xfId="1" applyBorder="1" applyProtection="1"/>
    <xf numFmtId="0" fontId="10" fillId="0" borderId="0" xfId="11" applyFont="1" applyBorder="1" applyProtection="1"/>
    <xf numFmtId="0" fontId="10" fillId="0" borderId="2" xfId="11" applyFont="1" applyBorder="1" applyProtection="1"/>
    <xf numFmtId="0" fontId="3" fillId="0" borderId="0" xfId="11" applyBorder="1" applyAlignment="1" applyProtection="1">
      <alignment horizontal="right"/>
    </xf>
    <xf numFmtId="0" fontId="3" fillId="0" borderId="4" xfId="11" applyBorder="1" applyProtection="1"/>
    <xf numFmtId="0" fontId="3" fillId="0" borderId="4" xfId="11" applyBorder="1" applyAlignment="1" applyProtection="1">
      <alignment horizontal="right"/>
    </xf>
    <xf numFmtId="164" fontId="3" fillId="0" borderId="4" xfId="11" applyNumberFormat="1" applyBorder="1" applyAlignment="1" applyProtection="1">
      <alignment horizontal="right"/>
    </xf>
    <xf numFmtId="0" fontId="3" fillId="0" borderId="4" xfId="10" applyBorder="1" applyProtection="1"/>
    <xf numFmtId="0" fontId="3" fillId="0" borderId="4" xfId="10" applyBorder="1" applyAlignment="1" applyProtection="1">
      <alignment wrapText="1"/>
    </xf>
    <xf numFmtId="0" fontId="3" fillId="0" borderId="4" xfId="10" applyBorder="1" applyAlignment="1" applyProtection="1">
      <alignment horizontal="right"/>
    </xf>
    <xf numFmtId="0" fontId="3" fillId="0" borderId="4" xfId="10" applyBorder="1" applyAlignment="1" applyProtection="1">
      <alignment horizontal="left" wrapText="1"/>
    </xf>
    <xf numFmtId="10" fontId="3" fillId="0" borderId="4" xfId="10" applyNumberFormat="1" applyBorder="1" applyAlignment="1" applyProtection="1">
      <alignment horizontal="right"/>
    </xf>
    <xf numFmtId="0" fontId="3" fillId="0" borderId="4" xfId="10" applyBorder="1" applyAlignment="1" applyProtection="1">
      <alignment horizontal="right" wrapText="1"/>
    </xf>
    <xf numFmtId="0" fontId="3" fillId="0" borderId="0" xfId="10" applyBorder="1" applyProtection="1"/>
    <xf numFmtId="6" fontId="0" fillId="0" borderId="0" xfId="0" applyNumberFormat="1"/>
    <xf numFmtId="0" fontId="0" fillId="0" borderId="5" xfId="0" applyBorder="1"/>
    <xf numFmtId="6" fontId="0" fillId="0" borderId="5" xfId="0" applyNumberFormat="1" applyBorder="1"/>
    <xf numFmtId="0" fontId="9" fillId="0" borderId="5" xfId="1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11" fillId="7" borderId="5" xfId="0" applyFont="1" applyFill="1" applyBorder="1" applyAlignment="1">
      <alignment wrapText="1"/>
    </xf>
    <xf numFmtId="0" fontId="0" fillId="0" borderId="8" xfId="0" applyBorder="1"/>
    <xf numFmtId="0" fontId="0" fillId="8" borderId="5" xfId="0" applyFill="1" applyBorder="1"/>
    <xf numFmtId="0" fontId="11" fillId="9" borderId="5" xfId="0" applyFont="1" applyFill="1" applyBorder="1"/>
    <xf numFmtId="0" fontId="11" fillId="9" borderId="5" xfId="0" applyFont="1" applyFill="1" applyBorder="1" applyAlignment="1">
      <alignment wrapText="1"/>
    </xf>
    <xf numFmtId="0" fontId="0" fillId="9" borderId="0" xfId="0" applyFill="1"/>
    <xf numFmtId="0" fontId="0" fillId="8" borderId="0" xfId="0" applyFill="1"/>
    <xf numFmtId="0" fontId="12" fillId="0" borderId="5" xfId="0" applyFont="1" applyBorder="1"/>
    <xf numFmtId="0" fontId="9" fillId="0" borderId="0" xfId="1" applyBorder="1"/>
    <xf numFmtId="0" fontId="0" fillId="9" borderId="5" xfId="0" applyFill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/>
    </xf>
    <xf numFmtId="0" fontId="0" fillId="10" borderId="0" xfId="0" applyFill="1"/>
    <xf numFmtId="0" fontId="0" fillId="10" borderId="5" xfId="0" applyFill="1" applyBorder="1"/>
    <xf numFmtId="0" fontId="0" fillId="8" borderId="7" xfId="0" applyFill="1" applyBorder="1" applyAlignment="1">
      <alignment wrapText="1"/>
    </xf>
    <xf numFmtId="6" fontId="0" fillId="0" borderId="7" xfId="0" applyNumberFormat="1" applyBorder="1"/>
    <xf numFmtId="0" fontId="9" fillId="0" borderId="7" xfId="1" applyBorder="1"/>
    <xf numFmtId="0" fontId="0" fillId="0" borderId="5" xfId="0" applyBorder="1" applyAlignment="1">
      <alignment horizontal="right"/>
    </xf>
    <xf numFmtId="0" fontId="0" fillId="0" borderId="9" xfId="0" applyBorder="1"/>
    <xf numFmtId="0" fontId="3" fillId="0" borderId="4" xfId="10" applyBorder="1" applyAlignment="1" applyProtection="1">
      <alignment horizontal="center" vertical="center"/>
    </xf>
    <xf numFmtId="0" fontId="3" fillId="6" borderId="4" xfId="10" applyFill="1" applyBorder="1" applyAlignment="1" applyProtection="1">
      <alignment horizontal="center" vertical="center"/>
    </xf>
  </cellXfs>
  <cellStyles count="28">
    <cellStyle name="Accent 1 5" xfId="2" xr:uid="{00000000-0005-0000-0000-000006000000}"/>
    <cellStyle name="Accent 1 6" xfId="3" xr:uid="{00000000-0005-0000-0000-000007000000}"/>
    <cellStyle name="Accent 2 6" xfId="4" xr:uid="{00000000-0005-0000-0000-000008000000}"/>
    <cellStyle name="Accent 2 7" xfId="5" xr:uid="{00000000-0005-0000-0000-000009000000}"/>
    <cellStyle name="Accent 3 7" xfId="6" xr:uid="{00000000-0005-0000-0000-00000A000000}"/>
    <cellStyle name="Accent 3 8" xfId="7" xr:uid="{00000000-0005-0000-0000-00000B000000}"/>
    <cellStyle name="Accent 4" xfId="8" xr:uid="{00000000-0005-0000-0000-00000C000000}"/>
    <cellStyle name="Accent 5" xfId="9" xr:uid="{00000000-0005-0000-0000-00000D000000}"/>
    <cellStyle name="Default 8" xfId="10" xr:uid="{00000000-0005-0000-0000-00000E000000}"/>
    <cellStyle name="Default 9" xfId="11" xr:uid="{00000000-0005-0000-0000-00000F000000}"/>
    <cellStyle name="Error 10" xfId="12" xr:uid="{00000000-0005-0000-0000-000010000000}"/>
    <cellStyle name="Error 9" xfId="13" xr:uid="{00000000-0005-0000-0000-000011000000}"/>
    <cellStyle name="Footnote 10" xfId="14" xr:uid="{00000000-0005-0000-0000-000012000000}"/>
    <cellStyle name="Footnote 11" xfId="15" xr:uid="{00000000-0005-0000-0000-000013000000}"/>
    <cellStyle name="Heading 11" xfId="16" xr:uid="{00000000-0005-0000-0000-000014000000}"/>
    <cellStyle name="Heading 12" xfId="17" xr:uid="{00000000-0005-0000-0000-000015000000}"/>
    <cellStyle name="Hyperlink" xfId="1" builtinId="8"/>
    <cellStyle name="Hyperlink 12" xfId="18" xr:uid="{00000000-0005-0000-0000-000016000000}"/>
    <cellStyle name="Hyperlink 13" xfId="19" xr:uid="{00000000-0005-0000-0000-000017000000}"/>
    <cellStyle name="Normal" xfId="0" builtinId="0"/>
    <cellStyle name="Result 13" xfId="20" xr:uid="{00000000-0005-0000-0000-000018000000}"/>
    <cellStyle name="Result 14" xfId="21" xr:uid="{00000000-0005-0000-0000-000019000000}"/>
    <cellStyle name="Status 14" xfId="22" xr:uid="{00000000-0005-0000-0000-00001A000000}"/>
    <cellStyle name="Status 15" xfId="23" xr:uid="{00000000-0005-0000-0000-00001B000000}"/>
    <cellStyle name="Text 15" xfId="24" xr:uid="{00000000-0005-0000-0000-00001C000000}"/>
    <cellStyle name="Text 16" xfId="25" xr:uid="{00000000-0005-0000-0000-00001D000000}"/>
    <cellStyle name="Warning 16" xfId="26" xr:uid="{00000000-0005-0000-0000-00001E000000}"/>
    <cellStyle name="Warning 17" xfId="27" xr:uid="{00000000-0005-0000-0000-00001F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luerobotics.com/store/cables-connectors/penetrators/penetrator-vp/" TargetMode="External"/><Relationship Id="rId18" Type="http://schemas.openxmlformats.org/officeDocument/2006/relationships/hyperlink" Target="https://atlas-scientific.com/carrier-boards/oem-simple-development-board/?srsltid=AfmBOor-IhZZQKjohu168JkC4-2suSqs2t9owACdXMooHvCFWom9RLwa" TargetMode="External"/><Relationship Id="rId26" Type="http://schemas.openxmlformats.org/officeDocument/2006/relationships/hyperlink" Target="https://files.atlas-scientific.com/EC_K_1.0_probe.pdf" TargetMode="External"/><Relationship Id="rId39" Type="http://schemas.openxmlformats.org/officeDocument/2006/relationships/hyperlink" Target="https://files.atlas-scientific.com/DO_EZO_Datasheet.pdf" TargetMode="External"/><Relationship Id="rId21" Type="http://schemas.openxmlformats.org/officeDocument/2006/relationships/hyperlink" Target="https://bluerobotics.com/store/watertight-enclosures/enclosure-tools-supplies/molykote/" TargetMode="External"/><Relationship Id="rId34" Type="http://schemas.openxmlformats.org/officeDocument/2006/relationships/hyperlink" Target="https://pip-assets.raspberrypi.com/categories/1097-raspberry-pi-compute-module-5-io-board/documents/RP-008182-DS-2-cm5io-datasheet.pdf?disposition=inline" TargetMode="External"/><Relationship Id="rId7" Type="http://schemas.openxmlformats.org/officeDocument/2006/relationships/hyperlink" Target="https://bluerobotics.com/store/sensors-cameras/sensors/bar-depth-pressure-sensor/" TargetMode="External"/><Relationship Id="rId2" Type="http://schemas.openxmlformats.org/officeDocument/2006/relationships/hyperlink" Target="https://www.mouser.com/ProductDetail/Morse-Micro/MM8108-EKH19-01?qs=HMhDvBYWqvOSMbg%2FkiOXMw%3D%3D" TargetMode="External"/><Relationship Id="rId16" Type="http://schemas.openxmlformats.org/officeDocument/2006/relationships/hyperlink" Target="https://www.digikey.com/en/products/detail/raspberry-pi/SC1571/25805583" TargetMode="External"/><Relationship Id="rId20" Type="http://schemas.openxmlformats.org/officeDocument/2006/relationships/hyperlink" Target="https://www.dfrobot.com/product-689.html?gad_source=1&amp;gad_campaignid=23441887437&amp;gclid=Cj0KCQjw9-PNBhDfARIsABHN6-06NXcaXmo9XxefRDsltO_3ZPnYl0qIgSLFVGwf_PReuSPBiF0XeL8aAoIKEALw_wcB" TargetMode="External"/><Relationship Id="rId29" Type="http://schemas.openxmlformats.org/officeDocument/2006/relationships/hyperlink" Target="https://cdn.robotshop.com/media/b/blu/rb-blu-237/pdf/bar30-high-resolution-300m-depth-pressure-sensor-r2-datasheet.pdf" TargetMode="External"/><Relationship Id="rId41" Type="http://schemas.openxmlformats.org/officeDocument/2006/relationships/hyperlink" Target="https://www.pishop.ca/product/raspberry-pi-compute-module-5-passive-cooler/" TargetMode="External"/><Relationship Id="rId1" Type="http://schemas.openxmlformats.org/officeDocument/2006/relationships/hyperlink" Target="https://www.dfrobot.com/product-818.html?gad_source=4&amp;gad_campaignid=23441887437&amp;gclid=Cj0KCQjw37nNBhDkARIsAEBGI8M92nN730xmX8CR-Ez68kU65ITD8ZRGHRoiGMUsLXOXDDsVIiw81V4aAmImEALw_wcB" TargetMode="External"/><Relationship Id="rId6" Type="http://schemas.openxmlformats.org/officeDocument/2006/relationships/hyperlink" Target="https://www.digikey.com/en/products/detail/seeed-technology-co-ltd/101020018/5482605?gclsrc=aw.ds&amp;gad_source=1&amp;gad_campaignid=20243136172&amp;gclid=Cj0KCQjw37nNBhDkARIsAEBGI8PTWsrKNkH-E9EQqKj3WkQTKLhGxV9E5uiblp67sjod2sAGo6qXlYUaAqLsEALw_wcB" TargetMode="External"/><Relationship Id="rId11" Type="http://schemas.openxmlformats.org/officeDocument/2006/relationships/hyperlink" Target="https://bluerobotics.com/store/watertight-enclosures/locking-series/wte-end-cap-vp/" TargetMode="External"/><Relationship Id="rId24" Type="http://schemas.openxmlformats.org/officeDocument/2006/relationships/hyperlink" Target="https://bluerobotics.com/store/watertight-enclosures/locking-series/wte-end-cap-vp/" TargetMode="External"/><Relationship Id="rId32" Type="http://schemas.openxmlformats.org/officeDocument/2006/relationships/hyperlink" Target="https://www.analog.com/media/en/technical-documentation/data-sheets/ds18b20.pdf" TargetMode="External"/><Relationship Id="rId37" Type="http://schemas.openxmlformats.org/officeDocument/2006/relationships/hyperlink" Target="https://download.mikroe.com/documents/datasheets/EZO-EC_datasheet.pdf" TargetMode="External"/><Relationship Id="rId40" Type="http://schemas.openxmlformats.org/officeDocument/2006/relationships/hyperlink" Target="https://www.amazon.com/Geekworm-USB-C-Power-Supply-Raspberry/dp/B0FGN6Q8BC/ref=sr_1_3?crid=HQ1LVK23B162&amp;dib=eyJ2IjoiMSJ9.Mt_d3MWBMsocNk4yBE2DX8ICgPZ3hvOFK6PHOhafR7aOMfG07O6mTRDnIiayX8Tvb7xPD9H6RPjHpdjQ_0fTmgNY01zrWjdKqdeEWxU5OdemMFv1dYo4zvlreOKmF8OcssaFvdspp9bNP6X-8LdivKbhgIZKlldCH2PN4RSg4AfMAUZw4o5Doz2WJx1imchj-M3m8HIVGAhCSF11KS7UnMupqIdc_QMUziDCazGbgmA.7qUkFZAA7mJn0F8fv4sOkNBIxM613u-cXxq73pXKpaI&amp;dib_tag=se&amp;keywords=6ft+5v%2F5a+usb-c+power+supply&amp;qid=1781198799&amp;sprefix=6ft+5v%2F5a+usb-c+power+supply%2Caps%2C104&amp;sr=8-3" TargetMode="External"/><Relationship Id="rId5" Type="http://schemas.openxmlformats.org/officeDocument/2006/relationships/hyperlink" Target="https://www.newark.com/raspberry-pi/sc0872/rpi-camera-mod-3-standard-lens/dp/62AK8682?CMP=KNC-GUSA-GEN-PMAX-Shopping-New&amp;gad_source=1&amp;gad_campaignid=21110543169&amp;gclid=Cj0KCQjw37nNBhDkARIsAEBGI8N-DlXMqoTI198bPRv6XIzL6dK66X4MEhDOlAwe5WeBC6azIkGzfkYaAtpaEALw_wcB" TargetMode="External"/><Relationship Id="rId15" Type="http://schemas.openxmlformats.org/officeDocument/2006/relationships/hyperlink" Target="https://bluerobotics.com/store/watertight-enclosures/enclosure-tools-supplies/prv-m10-asm/" TargetMode="External"/><Relationship Id="rId23" Type="http://schemas.openxmlformats.org/officeDocument/2006/relationships/hyperlink" Target="https://bluerobotics.com/store/watertight-enclosures/enclosure-tools-supplies/vacuum-pump-kit-r2-rp/" TargetMode="External"/><Relationship Id="rId28" Type="http://schemas.openxmlformats.org/officeDocument/2006/relationships/hyperlink" Target="https://www.raspberrypi.com/documentation/accessories/camera.html" TargetMode="External"/><Relationship Id="rId36" Type="http://schemas.openxmlformats.org/officeDocument/2006/relationships/hyperlink" Target="https://files.atlas-scientific.com/oem-dev-board.pdf" TargetMode="External"/><Relationship Id="rId10" Type="http://schemas.openxmlformats.org/officeDocument/2006/relationships/hyperlink" Target="https://bluerobotics.com/store/watertight-enclosures/locking-series/spare-o-ring-set/" TargetMode="External"/><Relationship Id="rId19" Type="http://schemas.openxmlformats.org/officeDocument/2006/relationships/hyperlink" Target="https://atlas-scientific.com/embedded-solutions/ezo-conductivity-circuit/?srsltid=AfmBOopebnX7egK0AiGvLEsMOsMgQfOWAn26gaIdl_7AtSbdGawo3fWS" TargetMode="External"/><Relationship Id="rId31" Type="http://schemas.openxmlformats.org/officeDocument/2006/relationships/hyperlink" Target="https://www.morsemicro.com/resources/product_brief/MM8108-EKH19-Product-Brief.pdf" TargetMode="External"/><Relationship Id="rId4" Type="http://schemas.openxmlformats.org/officeDocument/2006/relationships/hyperlink" Target="https://www.digikey.com/en/products/detail/atlas-scientific/ENV-20-EC-K1-0/16003011" TargetMode="External"/><Relationship Id="rId9" Type="http://schemas.openxmlformats.org/officeDocument/2006/relationships/hyperlink" Target="https://bluerobotics.com/store/watertight-enclosures/non-locking-series/wte8-o-ring-set-r1/" TargetMode="External"/><Relationship Id="rId14" Type="http://schemas.openxmlformats.org/officeDocument/2006/relationships/hyperlink" Target="https://bluerobotics.com/store/watertight-enclosures/enclosure-tools-supplies/vent-asm-r1/" TargetMode="External"/><Relationship Id="rId22" Type="http://schemas.openxmlformats.org/officeDocument/2006/relationships/hyperlink" Target="https://bluerobotics.com/store/watertight-enclosures/enclosure-tools-supplies/vacuum-plug/?add-to-cart=136035" TargetMode="External"/><Relationship Id="rId27" Type="http://schemas.openxmlformats.org/officeDocument/2006/relationships/hyperlink" Target="https://mm.digikey.com/Volume0/opasdata/d220001/medias/docus/872/101020018_Web.pdf%20https:/bluerobotics.com/store/sensors-cameras/sensors/bar-depth-pressure-sensor/" TargetMode="External"/><Relationship Id="rId30" Type="http://schemas.openxmlformats.org/officeDocument/2006/relationships/hyperlink" Target="https://cdn-learn.adafruit.com/downloads/pdf/adafruit-ultimate-gps-featherwing.pdf" TargetMode="External"/><Relationship Id="rId35" Type="http://schemas.openxmlformats.org/officeDocument/2006/relationships/hyperlink" Target="https://www.pjrc.com/store/teensy41.html" TargetMode="External"/><Relationship Id="rId8" Type="http://schemas.openxmlformats.org/officeDocument/2006/relationships/hyperlink" Target="https://www.digikey.com/en/products/detail/atlas-scientific/ENV-20-DOX/16003119" TargetMode="External"/><Relationship Id="rId3" Type="http://schemas.openxmlformats.org/officeDocument/2006/relationships/hyperlink" Target="https://www.digikey.com/en/products/detail/adafruit-industries-llc/3133/6047744" TargetMode="External"/><Relationship Id="rId12" Type="http://schemas.openxmlformats.org/officeDocument/2006/relationships/hyperlink" Target="https://bluerobotics.com/store/watertight-enclosures/locking-series/wte-flange-vp/" TargetMode="External"/><Relationship Id="rId17" Type="http://schemas.openxmlformats.org/officeDocument/2006/relationships/hyperlink" Target="https://www.digikey.com/en/products/detail/raspberry-pi/SC1967/25862723" TargetMode="External"/><Relationship Id="rId25" Type="http://schemas.openxmlformats.org/officeDocument/2006/relationships/hyperlink" Target="https://kn.ariat-tech.com/datasheet/8a/ENV-20-DOX.pdf" TargetMode="External"/><Relationship Id="rId33" Type="http://schemas.openxmlformats.org/officeDocument/2006/relationships/hyperlink" Target="https://pip-assets.raspberrypi.com/categories/944-raspberry-pi-compute-module-5/documents/RP-008180-DS-6-cm5-datasheet.pdf?disposition=inline" TargetMode="External"/><Relationship Id="rId38" Type="http://schemas.openxmlformats.org/officeDocument/2006/relationships/hyperlink" Target="https://atlas-scientific.com/embedded-solutions/ezo-dissolved-oxygen-circui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tlas-scientific.com/embedded-solutions/ezo-dissolved-oxygen-circuit/" TargetMode="External"/><Relationship Id="rId2" Type="http://schemas.openxmlformats.org/officeDocument/2006/relationships/hyperlink" Target="https://www.pishop.ca/product/raspberry-pi-compute-module-5-passive-cooler/" TargetMode="External"/><Relationship Id="rId1" Type="http://schemas.openxmlformats.org/officeDocument/2006/relationships/hyperlink" Target="https://www.amazon.com/Geekworm-USB-C-Power-Supply-Raspberry/dp/B0FGN6Q8BC/ref=sr_1_3?crid=HQ1LVK23B162&amp;dib=eyJ2IjoiMSJ9.Mt_d3MWBMsocNk4yBE2DX8ICgPZ3hvOFK6PHOhafR7aOMfG07O6mTRDnIiayX8Tvb7xPD9H6RPjHpdjQ_0fTmgNY01zrWjdKqdeEWxU5OdemMFv1dYo4zvlreOKmF8OcssaFvdspp9bNP6X-8LdivKbhgIZKlldCH2PN4RSg4AfMAUZw4o5Doz2WJx1imchj-M3m8HIVGAhCSF11KS7UnMupqIdc_QMUziDCazGbgmA.7qUkFZAA7mJn0F8fv4sOkNBIxM613u-cXxq73pXKpaI&amp;dib_tag=se&amp;keywords=6ft+5v%2F5a+usb-c+power+supply&amp;qid=1781198799&amp;sprefix=6ft+5v%2F5a+usb-c+power+supply%2Caps%2C104&amp;sr=8-3" TargetMode="External"/><Relationship Id="rId4" Type="http://schemas.openxmlformats.org/officeDocument/2006/relationships/hyperlink" Target="https://atlas-scientific.com/carrier-boards/oem-simple-development-board/?srsltid=AfmBOor-IhZZQKjohu168JkC4-2suSqs2t9owACdXMooHvCFWom9RLw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opotomodem.com/documentation/" TargetMode="External"/><Relationship Id="rId1" Type="http://schemas.openxmlformats.org/officeDocument/2006/relationships/hyperlink" Target="https://www.popotomodem.com/static/ca0f73484914bd9f3810e274074fa2e9/PMM4511-Technical-Specifica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9C7E-6F28-4434-BEC0-4C150734B218}">
  <dimension ref="A1:J45"/>
  <sheetViews>
    <sheetView tabSelected="1" topLeftCell="F1" workbookViewId="0">
      <selection activeCell="A17" sqref="A17:I18"/>
    </sheetView>
  </sheetViews>
  <sheetFormatPr defaultRowHeight="12.75"/>
  <cols>
    <col min="1" max="1" width="33.42578125" customWidth="1"/>
    <col min="2" max="2" width="64.7109375" bestFit="1" customWidth="1"/>
    <col min="3" max="3" width="7.7109375" customWidth="1"/>
    <col min="4" max="4" width="8.140625" customWidth="1"/>
    <col min="5" max="5" width="9.42578125" customWidth="1"/>
    <col min="6" max="6" width="76.5703125" customWidth="1"/>
    <col min="7" max="7" width="22.28515625" customWidth="1"/>
    <col min="8" max="8" width="33" customWidth="1"/>
    <col min="9" max="10" width="48.140625" customWidth="1"/>
  </cols>
  <sheetData>
    <row r="1" spans="1:10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9" t="s">
        <v>8</v>
      </c>
    </row>
    <row r="2" spans="1:10" ht="13.5" customHeight="1">
      <c r="A2" s="32" t="s">
        <v>9</v>
      </c>
      <c r="B2" s="24" t="s">
        <v>10</v>
      </c>
      <c r="C2" s="24">
        <v>1</v>
      </c>
      <c r="D2" s="25">
        <v>232</v>
      </c>
      <c r="E2" s="25">
        <f>C2*D2</f>
        <v>232</v>
      </c>
      <c r="F2" s="26" t="s">
        <v>11</v>
      </c>
      <c r="G2" s="24" t="s">
        <v>12</v>
      </c>
      <c r="H2" s="27"/>
      <c r="I2" s="26" t="s">
        <v>13</v>
      </c>
    </row>
    <row r="3" spans="1:10">
      <c r="A3" s="32" t="s">
        <v>14</v>
      </c>
      <c r="B3" s="24" t="s">
        <v>15</v>
      </c>
      <c r="C3" s="24">
        <v>1</v>
      </c>
      <c r="D3" s="25">
        <v>90</v>
      </c>
      <c r="E3" s="25">
        <f>C3*D3</f>
        <v>90</v>
      </c>
      <c r="F3" s="26" t="s">
        <v>16</v>
      </c>
      <c r="G3" s="24" t="s">
        <v>12</v>
      </c>
      <c r="H3" s="27" t="s">
        <v>17</v>
      </c>
      <c r="I3" s="26" t="s">
        <v>18</v>
      </c>
      <c r="J3" s="38"/>
    </row>
    <row r="4" spans="1:10">
      <c r="A4" s="32" t="s">
        <v>19</v>
      </c>
      <c r="B4" s="24" t="s">
        <v>20</v>
      </c>
      <c r="C4" s="24">
        <v>3</v>
      </c>
      <c r="D4" s="25">
        <v>3</v>
      </c>
      <c r="E4" s="25">
        <f>C4*D4</f>
        <v>9</v>
      </c>
      <c r="F4" s="26" t="s">
        <v>21</v>
      </c>
      <c r="G4" s="24" t="s">
        <v>22</v>
      </c>
      <c r="H4" s="27"/>
      <c r="I4" s="26" t="s">
        <v>23</v>
      </c>
    </row>
    <row r="5" spans="1:10">
      <c r="A5" s="32" t="s">
        <v>24</v>
      </c>
      <c r="B5" s="24" t="s">
        <v>25</v>
      </c>
      <c r="C5" s="24">
        <v>2</v>
      </c>
      <c r="D5" s="25">
        <v>27</v>
      </c>
      <c r="E5" s="25">
        <f>C5*D5</f>
        <v>54</v>
      </c>
      <c r="F5" s="26" t="s">
        <v>26</v>
      </c>
      <c r="G5" s="24" t="s">
        <v>12</v>
      </c>
      <c r="H5" s="27"/>
      <c r="I5" s="26" t="s">
        <v>27</v>
      </c>
    </row>
    <row r="6" spans="1:10">
      <c r="A6" s="32" t="s">
        <v>28</v>
      </c>
      <c r="B6" s="24" t="s">
        <v>29</v>
      </c>
      <c r="C6" s="24">
        <v>1</v>
      </c>
      <c r="D6" s="25">
        <v>134</v>
      </c>
      <c r="E6" s="25">
        <f>C6*D6</f>
        <v>134</v>
      </c>
      <c r="F6" s="26" t="s">
        <v>30</v>
      </c>
      <c r="G6" s="24" t="s">
        <v>12</v>
      </c>
      <c r="H6" s="27"/>
      <c r="I6" s="26" t="s">
        <v>31</v>
      </c>
    </row>
    <row r="7" spans="1:10">
      <c r="A7" s="32" t="s">
        <v>32</v>
      </c>
      <c r="B7" s="24" t="s">
        <v>33</v>
      </c>
      <c r="C7" s="24">
        <v>2</v>
      </c>
      <c r="D7" s="25">
        <v>30</v>
      </c>
      <c r="E7" s="25">
        <f>C7*D7</f>
        <v>60</v>
      </c>
      <c r="F7" s="26" t="s">
        <v>34</v>
      </c>
      <c r="G7" s="24" t="s">
        <v>12</v>
      </c>
      <c r="H7" s="27"/>
      <c r="I7" s="26" t="s">
        <v>35</v>
      </c>
    </row>
    <row r="8" spans="1:10" ht="24">
      <c r="A8" s="32" t="s">
        <v>36</v>
      </c>
      <c r="B8" s="24" t="s">
        <v>37</v>
      </c>
      <c r="C8" s="24">
        <v>2</v>
      </c>
      <c r="D8" s="25">
        <v>200</v>
      </c>
      <c r="E8" s="25">
        <f>C8*D8</f>
        <v>400</v>
      </c>
      <c r="F8" s="26" t="s">
        <v>38</v>
      </c>
      <c r="G8" s="24" t="s">
        <v>12</v>
      </c>
      <c r="H8" s="40" t="s">
        <v>39</v>
      </c>
      <c r="I8" s="26" t="s">
        <v>40</v>
      </c>
    </row>
    <row r="9" spans="1:10">
      <c r="A9" s="32" t="s">
        <v>41</v>
      </c>
      <c r="B9" s="24" t="s">
        <v>42</v>
      </c>
      <c r="C9" s="24">
        <v>1</v>
      </c>
      <c r="D9" s="25">
        <v>13</v>
      </c>
      <c r="E9" s="25">
        <f>C9*D9</f>
        <v>13</v>
      </c>
      <c r="F9" s="26" t="s">
        <v>43</v>
      </c>
      <c r="G9" s="24" t="s">
        <v>44</v>
      </c>
      <c r="H9" s="27" t="s">
        <v>45</v>
      </c>
      <c r="I9" s="24" t="s">
        <v>46</v>
      </c>
    </row>
    <row r="10" spans="1:10">
      <c r="A10" s="32" t="s">
        <v>47</v>
      </c>
      <c r="B10" s="24" t="s">
        <v>48</v>
      </c>
      <c r="C10" s="24">
        <v>1</v>
      </c>
      <c r="D10" s="25">
        <v>5</v>
      </c>
      <c r="E10" s="25">
        <f>C10*D10</f>
        <v>5</v>
      </c>
      <c r="F10" s="26" t="s">
        <v>49</v>
      </c>
      <c r="G10" s="24" t="s">
        <v>50</v>
      </c>
      <c r="H10" s="27" t="s">
        <v>51</v>
      </c>
      <c r="I10" s="26" t="s">
        <v>52</v>
      </c>
    </row>
    <row r="11" spans="1:10">
      <c r="A11" s="32" t="s">
        <v>53</v>
      </c>
      <c r="B11" s="24" t="s">
        <v>54</v>
      </c>
      <c r="C11" s="24">
        <v>2</v>
      </c>
      <c r="D11" s="25">
        <v>140</v>
      </c>
      <c r="E11" s="25">
        <f>C11*D11</f>
        <v>280</v>
      </c>
      <c r="F11" s="26" t="s">
        <v>55</v>
      </c>
      <c r="G11" s="24" t="s">
        <v>12</v>
      </c>
      <c r="H11" s="27"/>
      <c r="I11" s="26" t="s">
        <v>56</v>
      </c>
    </row>
    <row r="12" spans="1:10">
      <c r="A12" s="32" t="s">
        <v>57</v>
      </c>
      <c r="B12" s="24" t="s">
        <v>58</v>
      </c>
      <c r="C12" s="24">
        <v>2</v>
      </c>
      <c r="D12" s="25">
        <v>20</v>
      </c>
      <c r="E12" s="25">
        <f>C12*D12</f>
        <v>40</v>
      </c>
      <c r="F12" s="26" t="s">
        <v>59</v>
      </c>
      <c r="G12" s="24" t="s">
        <v>12</v>
      </c>
      <c r="H12" s="27"/>
      <c r="I12" s="26" t="s">
        <v>60</v>
      </c>
    </row>
    <row r="13" spans="1:10">
      <c r="A13" s="32" t="s">
        <v>61</v>
      </c>
      <c r="B13" s="24" t="s">
        <v>62</v>
      </c>
      <c r="C13" s="24">
        <v>2</v>
      </c>
      <c r="D13" s="25">
        <v>30</v>
      </c>
      <c r="E13" s="25">
        <f>C13*D13</f>
        <v>60</v>
      </c>
      <c r="F13" s="24" t="s">
        <v>63</v>
      </c>
      <c r="G13" s="24" t="s">
        <v>64</v>
      </c>
      <c r="H13" s="27"/>
      <c r="I13" s="26" t="s">
        <v>65</v>
      </c>
    </row>
    <row r="14" spans="1:10">
      <c r="A14" s="32" t="s">
        <v>66</v>
      </c>
      <c r="B14" s="24" t="s">
        <v>67</v>
      </c>
      <c r="C14" s="24">
        <v>2</v>
      </c>
      <c r="D14" s="25">
        <v>20</v>
      </c>
      <c r="E14" s="25">
        <f>C14*D14</f>
        <v>40</v>
      </c>
      <c r="F14" s="26" t="s">
        <v>68</v>
      </c>
      <c r="G14" s="24" t="s">
        <v>64</v>
      </c>
      <c r="H14" s="41" t="s">
        <v>69</v>
      </c>
      <c r="I14" s="26" t="s">
        <v>70</v>
      </c>
    </row>
    <row r="15" spans="1:10">
      <c r="A15" s="32" t="s">
        <v>71</v>
      </c>
      <c r="B15" s="24" t="s">
        <v>72</v>
      </c>
      <c r="C15" s="24">
        <v>1</v>
      </c>
      <c r="D15" s="25">
        <v>68</v>
      </c>
      <c r="E15" s="25">
        <f>C15*D15</f>
        <v>68</v>
      </c>
      <c r="F15" s="26" t="s">
        <v>73</v>
      </c>
      <c r="G15" s="24" t="s">
        <v>12</v>
      </c>
      <c r="H15" s="27" t="s">
        <v>74</v>
      </c>
      <c r="I15" s="26" t="s">
        <v>75</v>
      </c>
    </row>
    <row r="16" spans="1:10" ht="36">
      <c r="A16" s="44" t="s">
        <v>76</v>
      </c>
      <c r="B16" s="29" t="s">
        <v>77</v>
      </c>
      <c r="C16" s="29">
        <v>1</v>
      </c>
      <c r="D16" s="45">
        <v>53</v>
      </c>
      <c r="E16" s="45">
        <f>C16*D16</f>
        <v>53</v>
      </c>
      <c r="F16" s="46" t="s">
        <v>78</v>
      </c>
      <c r="G16" s="29" t="s">
        <v>79</v>
      </c>
      <c r="H16" s="48"/>
      <c r="I16" s="46" t="s">
        <v>80</v>
      </c>
    </row>
    <row r="17" spans="1:9">
      <c r="A17" s="43" t="s">
        <v>81</v>
      </c>
      <c r="B17" s="24" t="s">
        <v>82</v>
      </c>
      <c r="C17" s="24">
        <v>2</v>
      </c>
      <c r="D17" s="25">
        <v>11</v>
      </c>
      <c r="E17" s="25">
        <f>C17*D17</f>
        <v>22</v>
      </c>
      <c r="F17" s="26" t="s">
        <v>83</v>
      </c>
      <c r="G17" s="24" t="s">
        <v>79</v>
      </c>
      <c r="H17" s="47"/>
      <c r="I17" s="24"/>
    </row>
    <row r="18" spans="1:9">
      <c r="A18" s="43" t="s">
        <v>84</v>
      </c>
      <c r="B18" s="24"/>
      <c r="C18" s="24">
        <v>2</v>
      </c>
      <c r="D18" s="25">
        <v>7</v>
      </c>
      <c r="E18" s="25">
        <f>C18*D18</f>
        <v>14</v>
      </c>
      <c r="F18" s="26" t="s">
        <v>85</v>
      </c>
      <c r="G18" s="24" t="s">
        <v>79</v>
      </c>
      <c r="H18" s="24"/>
      <c r="I18" s="24"/>
    </row>
    <row r="34" spans="1:9">
      <c r="A34" s="35" t="s">
        <v>86</v>
      </c>
      <c r="B34" s="36" t="s">
        <v>87</v>
      </c>
      <c r="C34" s="42" t="s">
        <v>88</v>
      </c>
      <c r="E34" s="23">
        <f>SUM(E2:E16)</f>
        <v>1538</v>
      </c>
    </row>
    <row r="35" spans="1:9" ht="24">
      <c r="A35" s="39" t="s">
        <v>89</v>
      </c>
      <c r="B35" s="28" t="s">
        <v>90</v>
      </c>
      <c r="C35" s="24">
        <v>2</v>
      </c>
      <c r="D35" s="25">
        <v>20</v>
      </c>
      <c r="E35" s="25">
        <f>C35*D35</f>
        <v>40</v>
      </c>
      <c r="F35" s="26" t="s">
        <v>91</v>
      </c>
      <c r="G35" s="24" t="s">
        <v>50</v>
      </c>
      <c r="H35" s="27"/>
      <c r="I35" s="24"/>
    </row>
    <row r="36" spans="1:9" ht="24">
      <c r="A36" s="33" t="s">
        <v>92</v>
      </c>
      <c r="B36" s="28" t="s">
        <v>93</v>
      </c>
      <c r="C36" s="24">
        <v>2</v>
      </c>
      <c r="D36" s="25">
        <v>3</v>
      </c>
      <c r="E36" s="25">
        <f>C36*D36</f>
        <v>6</v>
      </c>
      <c r="F36" s="26" t="s">
        <v>94</v>
      </c>
      <c r="G36" s="24" t="s">
        <v>50</v>
      </c>
      <c r="H36" s="24"/>
      <c r="I36" s="31"/>
    </row>
    <row r="37" spans="1:9" ht="24">
      <c r="A37" s="33" t="s">
        <v>95</v>
      </c>
      <c r="B37" s="28" t="s">
        <v>96</v>
      </c>
      <c r="C37" s="24">
        <v>1</v>
      </c>
      <c r="D37" s="25">
        <v>62</v>
      </c>
      <c r="E37" s="25">
        <f>C37*D37</f>
        <v>62</v>
      </c>
      <c r="F37" s="26" t="s">
        <v>97</v>
      </c>
      <c r="G37" s="24" t="s">
        <v>50</v>
      </c>
      <c r="H37" s="24"/>
      <c r="I37" s="24"/>
    </row>
    <row r="38" spans="1:9" ht="24">
      <c r="A38" s="33" t="s">
        <v>98</v>
      </c>
      <c r="B38" s="28" t="s">
        <v>99</v>
      </c>
      <c r="C38" s="24">
        <v>1</v>
      </c>
      <c r="D38" s="25">
        <v>36</v>
      </c>
      <c r="E38" s="25"/>
      <c r="F38" s="26" t="s">
        <v>100</v>
      </c>
      <c r="G38" s="24" t="s">
        <v>79</v>
      </c>
      <c r="H38" s="28" t="s">
        <v>101</v>
      </c>
      <c r="I38" s="24"/>
    </row>
    <row r="39" spans="1:9" ht="24">
      <c r="A39" s="33" t="s">
        <v>102</v>
      </c>
      <c r="B39" s="28" t="s">
        <v>103</v>
      </c>
      <c r="C39" s="24">
        <v>1</v>
      </c>
      <c r="D39" s="25">
        <v>50</v>
      </c>
      <c r="E39" s="25">
        <f>C39*D39</f>
        <v>50</v>
      </c>
      <c r="F39" s="26" t="s">
        <v>104</v>
      </c>
      <c r="G39" s="24" t="s">
        <v>50</v>
      </c>
      <c r="H39" s="24"/>
      <c r="I39" s="24"/>
    </row>
    <row r="40" spans="1:9" ht="24">
      <c r="A40" s="33" t="s">
        <v>105</v>
      </c>
      <c r="B40" s="28" t="s">
        <v>106</v>
      </c>
      <c r="C40" s="24">
        <v>10</v>
      </c>
      <c r="D40" s="25">
        <v>6</v>
      </c>
      <c r="E40" s="25">
        <f>C40*D40</f>
        <v>60</v>
      </c>
      <c r="F40" s="26" t="s">
        <v>107</v>
      </c>
      <c r="G40" s="24" t="s">
        <v>50</v>
      </c>
      <c r="H40" s="24" t="s">
        <v>108</v>
      </c>
      <c r="I40" s="24"/>
    </row>
    <row r="41" spans="1:9">
      <c r="A41" s="34" t="s">
        <v>109</v>
      </c>
      <c r="B41" s="30" t="s">
        <v>110</v>
      </c>
      <c r="C41" s="24">
        <v>1</v>
      </c>
      <c r="D41" s="25">
        <v>12</v>
      </c>
      <c r="E41" s="25">
        <f>C41*D41</f>
        <v>12</v>
      </c>
      <c r="F41" s="26" t="s">
        <v>111</v>
      </c>
      <c r="G41" s="24" t="s">
        <v>50</v>
      </c>
      <c r="H41" s="24"/>
      <c r="I41" s="29"/>
    </row>
    <row r="42" spans="1:9">
      <c r="A42" s="34" t="s">
        <v>112</v>
      </c>
      <c r="B42" s="30" t="s">
        <v>113</v>
      </c>
      <c r="C42" s="24">
        <v>1</v>
      </c>
      <c r="D42" s="25">
        <v>32</v>
      </c>
      <c r="E42" s="25">
        <f>C42*D42</f>
        <v>32</v>
      </c>
      <c r="F42" s="26" t="s">
        <v>114</v>
      </c>
      <c r="G42" s="24" t="s">
        <v>50</v>
      </c>
      <c r="H42" s="27"/>
      <c r="I42" s="24"/>
    </row>
    <row r="43" spans="1:9">
      <c r="A43" s="34" t="s">
        <v>115</v>
      </c>
      <c r="B43" s="30" t="s">
        <v>116</v>
      </c>
      <c r="C43" s="24">
        <v>1</v>
      </c>
      <c r="D43" s="25">
        <v>30</v>
      </c>
      <c r="E43" s="25">
        <f t="shared" ref="E43:E45" si="0">C43*D43</f>
        <v>30</v>
      </c>
      <c r="F43" s="26" t="s">
        <v>117</v>
      </c>
      <c r="G43" s="24" t="s">
        <v>79</v>
      </c>
      <c r="H43" s="27"/>
      <c r="I43" s="24"/>
    </row>
    <row r="44" spans="1:9">
      <c r="A44" s="34" t="s">
        <v>118</v>
      </c>
      <c r="B44" s="37" t="s">
        <v>119</v>
      </c>
      <c r="C44" s="24">
        <v>1</v>
      </c>
      <c r="D44" s="25">
        <v>8</v>
      </c>
      <c r="E44" s="25">
        <f t="shared" si="0"/>
        <v>8</v>
      </c>
      <c r="F44" s="26" t="s">
        <v>120</v>
      </c>
      <c r="G44" s="24" t="s">
        <v>79</v>
      </c>
      <c r="H44" s="27"/>
      <c r="I44" s="29"/>
    </row>
    <row r="45" spans="1:9">
      <c r="A45" s="34" t="s">
        <v>121</v>
      </c>
      <c r="B45" s="37" t="s">
        <v>122</v>
      </c>
      <c r="C45" s="24">
        <v>1</v>
      </c>
      <c r="D45" s="25">
        <v>98</v>
      </c>
      <c r="E45" s="25">
        <f t="shared" si="0"/>
        <v>98</v>
      </c>
      <c r="F45" s="26" t="s">
        <v>123</v>
      </c>
      <c r="G45" s="24" t="s">
        <v>79</v>
      </c>
      <c r="H45" s="27"/>
      <c r="I45" s="24"/>
    </row>
  </sheetData>
  <hyperlinks>
    <hyperlink ref="F9" r:id="rId1" xr:uid="{8AD67FF0-2EF6-487A-9F2B-57446B6C2745}"/>
    <hyperlink ref="F8" r:id="rId2" xr:uid="{A34D943F-1B2F-4325-947F-530C45AAF5B8}"/>
    <hyperlink ref="F7" r:id="rId3" xr:uid="{4CD1941A-95A2-4333-A2A5-6B97FB8E12C5}"/>
    <hyperlink ref="F6" r:id="rId4" xr:uid="{3C7673A6-DDAC-4981-92B9-7D1BEEEF08F7}"/>
    <hyperlink ref="F5" r:id="rId5" display="https://www.newark.com/raspberry-pi/sc0872/rpi-camera-mod-3-standard-lens/dp/62AK8682?CMP=KNC-GUSA-GEN-PMAX-Shopping-New&amp;gad_source=1&amp;gad_campaignid=21110543169&amp;gclid=Cj0KCQjw37nNBhDkARIsAEBGI8N-DlXMqoTI198bPRv6XIzL6dK66X4MEhDOlAwe5WeBC6azIkGzfkYaAtpaEALw_wcB" xr:uid="{F542BF2C-0D90-4D8E-9743-26F01F074694}"/>
    <hyperlink ref="F4" r:id="rId6" xr:uid="{A700CFA2-2272-44D5-936A-EDC22504609F}"/>
    <hyperlink ref="F3" r:id="rId7" xr:uid="{565A629D-AE82-467B-8D4A-9FBA4D47C188}"/>
    <hyperlink ref="F2" r:id="rId8" xr:uid="{248A2542-397D-4734-AEA9-BE2DCC2D82DF}"/>
    <hyperlink ref="F35" r:id="rId9" xr:uid="{94454083-C5A8-4BD9-8779-B8F5CA43A7BE}"/>
    <hyperlink ref="F36" r:id="rId10" xr:uid="{780A458D-1229-4114-9370-51B331AE3D1F}"/>
    <hyperlink ref="F37" r:id="rId11" xr:uid="{65506B08-B689-4058-A668-82D2CF24091E}"/>
    <hyperlink ref="F39" r:id="rId12" xr:uid="{80A46EBD-1CDD-43AC-9DFC-CA3D03485A81}"/>
    <hyperlink ref="F40" r:id="rId13" xr:uid="{83AF962E-1F5B-4617-9E17-0E47F564F04F}"/>
    <hyperlink ref="F41" r:id="rId14" xr:uid="{22827AFC-C137-43E4-A7C3-D74618AA4B2C}"/>
    <hyperlink ref="F42" r:id="rId15" xr:uid="{CD7F1D88-F06D-41C5-886D-2C4450AB50B2}"/>
    <hyperlink ref="F11" r:id="rId16" xr:uid="{8F7CF8B2-43C7-478F-A944-7F2CCB49AD89}"/>
    <hyperlink ref="F12" r:id="rId17" xr:uid="{D94A30A7-9938-4829-927D-EE424C2DCE68}"/>
    <hyperlink ref="F14" r:id="rId18" xr:uid="{8B858D1B-BE7A-4D1A-B604-5A8B1B87521E}"/>
    <hyperlink ref="F15" r:id="rId19" xr:uid="{8C601DB8-2822-4C76-B5DF-9634139F085C}"/>
    <hyperlink ref="F10" r:id="rId20" xr:uid="{FEFB71BB-381C-4970-8C85-A57C2C8E3480}"/>
    <hyperlink ref="F43" r:id="rId21" xr:uid="{984DB942-128C-42E0-833C-9C8E5E0F81D8}"/>
    <hyperlink ref="F44" r:id="rId22" xr:uid="{B188BA39-502B-4A06-BC51-77461CE30978}"/>
    <hyperlink ref="F45" r:id="rId23" xr:uid="{8B8CA897-B72B-4734-83AA-431BE70C88BB}"/>
    <hyperlink ref="F38" r:id="rId24" xr:uid="{FEFF2D56-2828-46C3-AD16-EBD6808ABB76}"/>
    <hyperlink ref="I2" r:id="rId25" xr:uid="{FB0E3A89-9E1B-4B3E-A9AB-C25F9788371A}"/>
    <hyperlink ref="I6" r:id="rId26" xr:uid="{907FBAD7-43B9-4B51-AAC6-6B9B3337100E}"/>
    <hyperlink ref="I4" r:id="rId27" xr:uid="{2C7E230A-3C9F-4D9E-A1D7-35D55C81EC71}"/>
    <hyperlink ref="I5" r:id="rId28" xr:uid="{E1364C94-190C-4846-B509-D225EFCED5F6}"/>
    <hyperlink ref="I3" r:id="rId29" xr:uid="{42348688-D8AB-46AB-B735-10638AB7CC53}"/>
    <hyperlink ref="I7" r:id="rId30" xr:uid="{A81AFFFC-B15E-4A6D-A1BF-39162E1BAF59}"/>
    <hyperlink ref="I8" r:id="rId31" xr:uid="{40093DED-4F04-45E3-8E2F-E823C42E50FB}"/>
    <hyperlink ref="I10" r:id="rId32" xr:uid="{DC418CFA-8886-4995-B265-C6455AD78943}"/>
    <hyperlink ref="I11" r:id="rId33" xr:uid="{3E68E304-48C5-40A6-82FC-FC7CEE004FE0}"/>
    <hyperlink ref="I12" r:id="rId34" xr:uid="{04F0B3F2-1D0F-4D19-8974-5BC5C436D267}"/>
    <hyperlink ref="I13" r:id="rId35" xr:uid="{AAD3D274-FEC9-4AAB-ACC3-07F2D1A6C283}"/>
    <hyperlink ref="I14" r:id="rId36" xr:uid="{B00218ED-CBD4-4032-8193-F554387D43CB}"/>
    <hyperlink ref="I15" r:id="rId37" xr:uid="{37B454E4-6785-41D5-8E19-043B1734DD69}"/>
    <hyperlink ref="F16" r:id="rId38" xr:uid="{601B62B6-8E67-4F2A-BBE8-CDFA0A31175A}"/>
    <hyperlink ref="I16" r:id="rId39" xr:uid="{A0297F7B-4330-4328-A8C4-FC02596107D2}"/>
    <hyperlink ref="F17" r:id="rId40" display="https://www.amazon.com/Geekworm-USB-C-Power-Supply-Raspberry/dp/B0FGN6Q8BC/ref=sr_1_3?crid=HQ1LVK23B162&amp;dib=eyJ2IjoiMSJ9.Mt_d3MWBMsocNk4yBE2DX8ICgPZ3hvOFK6PHOhafR7aOMfG07O6mTRDnIiayX8Tvb7xPD9H6RPjHpdjQ_0fTmgNY01zrWjdKqdeEWxU5OdemMFv1dYo4zvlreOKmF8OcssaFvdspp9bNP6X-8LdivKbhgIZKlldCH2PN4RSg4AfMAUZw4o5Doz2WJx1imchj-M3m8HIVGAhCSF11KS7UnMupqIdc_QMUziDCazGbgmA.7qUkFZAA7mJn0F8fv4sOkNBIxM613u-cXxq73pXKpaI&amp;dib_tag=se&amp;keywords=6ft+5v%2F5a+usb-c+power+supply&amp;qid=1781198799&amp;sprefix=6ft+5v%2F5a+usb-c+power+supply%2Caps%2C104&amp;sr=8-3" xr:uid="{860F49BB-B191-4617-A4FF-D290AB43E9F6}"/>
    <hyperlink ref="F18" r:id="rId41" xr:uid="{D189AF95-8BA9-4421-B569-EAD27A3996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E5E9-574A-461F-B647-A1757FF49324}">
  <dimension ref="A1:F6"/>
  <sheetViews>
    <sheetView workbookViewId="0">
      <selection activeCell="K23" sqref="K23"/>
    </sheetView>
  </sheetViews>
  <sheetFormatPr defaultRowHeight="12.75"/>
  <cols>
    <col min="1" max="1" width="29" bestFit="1" customWidth="1"/>
    <col min="2" max="2" width="60.140625" bestFit="1" customWidth="1"/>
    <col min="3" max="3" width="7.5703125" bestFit="1" customWidth="1"/>
    <col min="4" max="4" width="18.7109375" bestFit="1" customWidth="1"/>
    <col min="5" max="5" width="5.7109375" customWidth="1"/>
    <col min="6" max="6" width="9.7109375" customWidth="1"/>
  </cols>
  <sheetData>
    <row r="1" spans="1:6">
      <c r="A1" s="24" t="s">
        <v>124</v>
      </c>
      <c r="B1" s="24" t="s">
        <v>1</v>
      </c>
      <c r="C1" s="24" t="s">
        <v>125</v>
      </c>
      <c r="D1" s="24" t="s">
        <v>126</v>
      </c>
      <c r="E1" s="24" t="s">
        <v>4</v>
      </c>
      <c r="F1" s="24" t="s">
        <v>127</v>
      </c>
    </row>
    <row r="2" spans="1:6">
      <c r="A2" s="43" t="s">
        <v>81</v>
      </c>
      <c r="B2" s="24" t="s">
        <v>82</v>
      </c>
      <c r="C2" s="24">
        <v>2</v>
      </c>
      <c r="D2" s="25">
        <v>15</v>
      </c>
      <c r="E2" s="25">
        <f>C2*D2</f>
        <v>30</v>
      </c>
      <c r="F2" s="26" t="s">
        <v>83</v>
      </c>
    </row>
    <row r="3" spans="1:6">
      <c r="A3" s="43" t="s">
        <v>84</v>
      </c>
      <c r="B3" s="24"/>
      <c r="C3" s="24">
        <v>2</v>
      </c>
      <c r="D3" s="25">
        <v>7</v>
      </c>
      <c r="E3" s="25">
        <f>C3*D3</f>
        <v>14</v>
      </c>
      <c r="F3" s="26" t="s">
        <v>85</v>
      </c>
    </row>
    <row r="4" spans="1:6" ht="13.5" customHeight="1">
      <c r="A4" s="32" t="s">
        <v>76</v>
      </c>
      <c r="B4" s="24" t="s">
        <v>77</v>
      </c>
      <c r="C4" s="24">
        <v>1</v>
      </c>
      <c r="D4" s="25">
        <v>53</v>
      </c>
      <c r="E4" s="25">
        <f>C4*D4</f>
        <v>53</v>
      </c>
      <c r="F4" s="26" t="s">
        <v>78</v>
      </c>
    </row>
    <row r="5" spans="1:6">
      <c r="A5" s="32" t="s">
        <v>66</v>
      </c>
      <c r="B5" s="24" t="s">
        <v>67</v>
      </c>
      <c r="C5" s="24">
        <v>1</v>
      </c>
      <c r="D5" s="25">
        <v>20</v>
      </c>
      <c r="E5" s="25">
        <f>C5*D5</f>
        <v>20</v>
      </c>
      <c r="F5" s="26" t="s">
        <v>68</v>
      </c>
    </row>
    <row r="6" spans="1:6">
      <c r="D6" t="s">
        <v>128</v>
      </c>
      <c r="E6" s="23">
        <f>SUM(E2:E5)</f>
        <v>117</v>
      </c>
    </row>
  </sheetData>
  <hyperlinks>
    <hyperlink ref="F2" r:id="rId1" display="https://www.amazon.com/Geekworm-USB-C-Power-Supply-Raspberry/dp/B0FGN6Q8BC/ref=sr_1_3?crid=HQ1LVK23B162&amp;dib=eyJ2IjoiMSJ9.Mt_d3MWBMsocNk4yBE2DX8ICgPZ3hvOFK6PHOhafR7aOMfG07O6mTRDnIiayX8Tvb7xPD9H6RPjHpdjQ_0fTmgNY01zrWjdKqdeEWxU5OdemMFv1dYo4zvlreOKmF8OcssaFvdspp9bNP6X-8LdivKbhgIZKlldCH2PN4RSg4AfMAUZw4o5Doz2WJx1imchj-M3m8HIVGAhCSF11KS7UnMupqIdc_QMUziDCazGbgmA.7qUkFZAA7mJn0F8fv4sOkNBIxM613u-cXxq73pXKpaI&amp;dib_tag=se&amp;keywords=6ft+5v%2F5a+usb-c+power+supply&amp;qid=1781198799&amp;sprefix=6ft+5v%2F5a+usb-c+power+supply%2Caps%2C104&amp;sr=8-3" xr:uid="{117EEE9F-F912-4348-A8DC-CBEB8A2AB122}"/>
    <hyperlink ref="F3" r:id="rId2" xr:uid="{BBED12AB-00F4-4D9A-ACBC-B469CC040212}"/>
    <hyperlink ref="F4" r:id="rId3" xr:uid="{917900EB-D31B-4296-B6D5-3E90139FBE1F}"/>
    <hyperlink ref="F5" r:id="rId4" xr:uid="{0BC54995-25F8-4D7E-BFA4-E7276420D7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Normal="100" workbookViewId="0">
      <selection activeCell="A16" sqref="A16"/>
    </sheetView>
  </sheetViews>
  <sheetFormatPr defaultColWidth="8.7109375" defaultRowHeight="12.75"/>
  <cols>
    <col min="1" max="1" width="31.5703125" customWidth="1"/>
    <col min="2" max="2" width="63.42578125" customWidth="1"/>
    <col min="3" max="3" width="36.28515625" customWidth="1"/>
    <col min="4" max="4" width="19.140625" customWidth="1"/>
    <col min="5" max="5" width="26.85546875" customWidth="1"/>
    <col min="6" max="6" width="36.28515625" customWidth="1"/>
    <col min="7" max="7" width="9.140625" customWidth="1"/>
  </cols>
  <sheetData>
    <row r="1" spans="1:6" s="4" customFormat="1">
      <c r="A1" s="1" t="s">
        <v>0</v>
      </c>
      <c r="B1" s="2" t="s">
        <v>129</v>
      </c>
      <c r="C1" s="2" t="s">
        <v>130</v>
      </c>
      <c r="D1" s="3" t="s">
        <v>131</v>
      </c>
    </row>
    <row r="2" spans="1:6" s="4" customFormat="1">
      <c r="A2" s="1" t="s">
        <v>132</v>
      </c>
      <c r="B2" s="2" t="s">
        <v>133</v>
      </c>
      <c r="C2" s="2" t="s">
        <v>134</v>
      </c>
      <c r="D2" s="5">
        <v>125</v>
      </c>
    </row>
    <row r="3" spans="1:6" s="4" customFormat="1">
      <c r="A3" s="1" t="s">
        <v>135</v>
      </c>
      <c r="B3" s="2" t="s">
        <v>133</v>
      </c>
      <c r="C3" s="2" t="s">
        <v>134</v>
      </c>
      <c r="D3" s="6" t="s">
        <v>133</v>
      </c>
    </row>
    <row r="4" spans="1:6" s="4" customFormat="1">
      <c r="A4" s="1" t="s">
        <v>136</v>
      </c>
      <c r="B4" s="2" t="s">
        <v>133</v>
      </c>
      <c r="C4" s="2" t="s">
        <v>134</v>
      </c>
      <c r="D4" s="6" t="s">
        <v>133</v>
      </c>
    </row>
    <row r="5" spans="1:6" s="4" customFormat="1">
      <c r="A5" s="1" t="s">
        <v>137</v>
      </c>
      <c r="B5" s="2" t="s">
        <v>133</v>
      </c>
      <c r="C5" s="2" t="s">
        <v>138</v>
      </c>
      <c r="D5" s="6" t="s">
        <v>133</v>
      </c>
    </row>
    <row r="6" spans="1:6" s="4" customFormat="1">
      <c r="A6" s="1" t="s">
        <v>139</v>
      </c>
      <c r="B6" s="2" t="s">
        <v>133</v>
      </c>
      <c r="C6" s="2" t="s">
        <v>138</v>
      </c>
      <c r="D6" s="6" t="s">
        <v>133</v>
      </c>
    </row>
    <row r="7" spans="1:6" s="4" customFormat="1">
      <c r="A7" s="1" t="s">
        <v>140</v>
      </c>
      <c r="B7" s="2" t="s">
        <v>133</v>
      </c>
      <c r="C7" s="2" t="s">
        <v>138</v>
      </c>
      <c r="D7" s="6" t="s">
        <v>133</v>
      </c>
    </row>
    <row r="8" spans="1:6" s="4" customFormat="1">
      <c r="A8" s="1" t="s">
        <v>141</v>
      </c>
      <c r="B8" s="2" t="s">
        <v>142</v>
      </c>
      <c r="C8" s="2" t="s">
        <v>138</v>
      </c>
      <c r="D8" s="7">
        <v>14</v>
      </c>
    </row>
    <row r="9" spans="1:6" s="4" customFormat="1">
      <c r="A9" s="1" t="s">
        <v>143</v>
      </c>
      <c r="B9" s="8" t="s">
        <v>144</v>
      </c>
      <c r="C9" s="2" t="s">
        <v>138</v>
      </c>
      <c r="D9" s="7">
        <v>4</v>
      </c>
    </row>
    <row r="10" spans="1:6" s="4" customFormat="1">
      <c r="A10" s="1" t="s">
        <v>145</v>
      </c>
      <c r="B10" s="2" t="s">
        <v>146</v>
      </c>
      <c r="C10" s="2" t="s">
        <v>147</v>
      </c>
      <c r="D10" s="7">
        <v>12.5</v>
      </c>
    </row>
    <row r="11" spans="1:6" s="4" customFormat="1">
      <c r="A11" s="1" t="s">
        <v>148</v>
      </c>
      <c r="B11" s="2" t="s">
        <v>149</v>
      </c>
      <c r="C11" s="2"/>
      <c r="D11" s="7">
        <v>14</v>
      </c>
    </row>
    <row r="12" spans="1:6" s="4" customFormat="1">
      <c r="A12" s="1" t="s">
        <v>150</v>
      </c>
      <c r="B12" s="2" t="s">
        <v>133</v>
      </c>
      <c r="C12" s="2" t="s">
        <v>134</v>
      </c>
      <c r="D12" s="6" t="s">
        <v>133</v>
      </c>
    </row>
    <row r="13" spans="1:6" s="4" customFormat="1" ht="13.9">
      <c r="A13" s="1" t="s">
        <v>151</v>
      </c>
      <c r="B13" s="2" t="s">
        <v>152</v>
      </c>
      <c r="C13" s="2" t="s">
        <v>138</v>
      </c>
      <c r="D13" s="7">
        <v>37</v>
      </c>
      <c r="E13" s="9"/>
      <c r="F13" s="10"/>
    </row>
    <row r="14" spans="1:6" s="4" customFormat="1">
      <c r="A14" s="1" t="s">
        <v>153</v>
      </c>
      <c r="B14" s="2" t="s">
        <v>154</v>
      </c>
      <c r="C14" s="2"/>
      <c r="D14" s="7">
        <v>25</v>
      </c>
      <c r="E14" s="9"/>
    </row>
    <row r="15" spans="1:6" s="4" customFormat="1" ht="13.9">
      <c r="A15" s="1" t="s">
        <v>155</v>
      </c>
      <c r="B15" s="11" t="s">
        <v>156</v>
      </c>
      <c r="C15" s="2"/>
      <c r="D15" s="7">
        <v>18</v>
      </c>
      <c r="E15" s="9"/>
    </row>
    <row r="16" spans="1:6" s="4" customFormat="1">
      <c r="A16" s="1" t="s">
        <v>157</v>
      </c>
      <c r="B16" s="2" t="s">
        <v>158</v>
      </c>
      <c r="C16" s="2" t="s">
        <v>138</v>
      </c>
      <c r="D16" s="7">
        <v>9</v>
      </c>
      <c r="E16" s="9"/>
    </row>
    <row r="17" spans="1:5" s="4" customFormat="1">
      <c r="A17" s="1" t="s">
        <v>159</v>
      </c>
      <c r="B17" s="2" t="s">
        <v>160</v>
      </c>
      <c r="C17" s="2" t="s">
        <v>138</v>
      </c>
      <c r="D17" s="7">
        <v>11</v>
      </c>
      <c r="E17" s="9"/>
    </row>
    <row r="18" spans="1:5" s="4" customFormat="1">
      <c r="A18" s="1" t="s">
        <v>161</v>
      </c>
      <c r="B18" s="2" t="s">
        <v>162</v>
      </c>
      <c r="C18" s="2" t="s">
        <v>138</v>
      </c>
      <c r="D18" s="7">
        <v>24</v>
      </c>
      <c r="E18" s="9"/>
    </row>
    <row r="19" spans="1:5" s="4" customFormat="1">
      <c r="D19" s="12"/>
    </row>
    <row r="20" spans="1:5" s="4" customFormat="1">
      <c r="A20" s="13" t="s">
        <v>163</v>
      </c>
      <c r="B20" s="13"/>
      <c r="C20" s="13" t="s">
        <v>164</v>
      </c>
      <c r="D20" s="14"/>
    </row>
    <row r="21" spans="1:5" s="4" customFormat="1">
      <c r="A21" s="13" t="s">
        <v>165</v>
      </c>
      <c r="B21" s="13" t="s">
        <v>133</v>
      </c>
      <c r="C21" s="13" t="s">
        <v>138</v>
      </c>
      <c r="D21" s="14"/>
    </row>
    <row r="22" spans="1:5" s="4" customFormat="1">
      <c r="A22" s="13" t="s">
        <v>166</v>
      </c>
      <c r="B22" s="13" t="s">
        <v>167</v>
      </c>
      <c r="C22" s="13" t="s">
        <v>138</v>
      </c>
      <c r="D22" s="15">
        <v>0.5</v>
      </c>
    </row>
    <row r="23" spans="1:5" s="4" customFormat="1">
      <c r="A23" s="13" t="s">
        <v>168</v>
      </c>
      <c r="B23" s="13" t="s">
        <v>169</v>
      </c>
      <c r="C23" s="13" t="s">
        <v>138</v>
      </c>
      <c r="D23" s="15">
        <v>1.2</v>
      </c>
    </row>
    <row r="24" spans="1:5" s="4" customFormat="1">
      <c r="A24" s="13" t="s">
        <v>170</v>
      </c>
      <c r="B24" s="13" t="s">
        <v>171</v>
      </c>
      <c r="C24" s="13" t="s">
        <v>138</v>
      </c>
      <c r="D24" s="15">
        <v>0.5</v>
      </c>
    </row>
    <row r="25" spans="1:5" s="4" customFormat="1">
      <c r="A25" s="13" t="s">
        <v>172</v>
      </c>
      <c r="B25" s="13" t="s">
        <v>173</v>
      </c>
      <c r="C25" s="13" t="s">
        <v>138</v>
      </c>
      <c r="D25" s="15">
        <v>3</v>
      </c>
    </row>
    <row r="26" spans="1:5" s="4" customFormat="1">
      <c r="A26" s="13" t="s">
        <v>174</v>
      </c>
      <c r="B26" s="13" t="s">
        <v>175</v>
      </c>
      <c r="C26" s="13" t="s">
        <v>138</v>
      </c>
      <c r="D26" s="15">
        <v>1.38</v>
      </c>
    </row>
    <row r="27" spans="1:5" s="4" customFormat="1">
      <c r="A27" s="13" t="s">
        <v>176</v>
      </c>
      <c r="B27" s="13" t="s">
        <v>177</v>
      </c>
      <c r="C27" s="13" t="s">
        <v>138</v>
      </c>
      <c r="D27" s="14" t="s">
        <v>133</v>
      </c>
    </row>
    <row r="28" spans="1:5" s="4" customFormat="1">
      <c r="A28" s="13" t="s">
        <v>178</v>
      </c>
      <c r="B28" s="13" t="s">
        <v>179</v>
      </c>
      <c r="C28" s="13" t="s">
        <v>138</v>
      </c>
      <c r="D28" s="15">
        <v>0.2</v>
      </c>
    </row>
    <row r="29" spans="1:5" s="4" customFormat="1">
      <c r="A29" s="13" t="s">
        <v>180</v>
      </c>
      <c r="B29" s="13" t="s">
        <v>181</v>
      </c>
      <c r="C29" s="13" t="s">
        <v>138</v>
      </c>
      <c r="D29" s="14" t="s">
        <v>133</v>
      </c>
    </row>
    <row r="30" spans="1:5" s="4" customFormat="1">
      <c r="A30" s="13" t="s">
        <v>182</v>
      </c>
      <c r="B30" s="13" t="s">
        <v>183</v>
      </c>
      <c r="C30" s="13" t="s">
        <v>138</v>
      </c>
      <c r="D30" s="14" t="s">
        <v>133</v>
      </c>
    </row>
    <row r="31" spans="1:5" s="4" customFormat="1">
      <c r="A31" s="13" t="s">
        <v>184</v>
      </c>
      <c r="B31" s="13" t="s">
        <v>185</v>
      </c>
      <c r="C31" s="13" t="s">
        <v>138</v>
      </c>
      <c r="D31" s="14" t="s">
        <v>133</v>
      </c>
    </row>
    <row r="32" spans="1:5" s="4" customFormat="1">
      <c r="A32" s="13" t="s">
        <v>186</v>
      </c>
      <c r="B32" s="13" t="s">
        <v>187</v>
      </c>
      <c r="C32" s="13" t="s">
        <v>138</v>
      </c>
      <c r="D32" s="14" t="s">
        <v>133</v>
      </c>
    </row>
    <row r="33" spans="1:4" s="4" customFormat="1">
      <c r="A33" s="13" t="s">
        <v>188</v>
      </c>
      <c r="B33" s="13" t="s">
        <v>189</v>
      </c>
      <c r="C33" s="13" t="s">
        <v>138</v>
      </c>
      <c r="D33" s="14" t="s">
        <v>133</v>
      </c>
    </row>
    <row r="34" spans="1:4" s="4" customFormat="1">
      <c r="A34" s="13" t="s">
        <v>190</v>
      </c>
      <c r="B34" s="13" t="s">
        <v>189</v>
      </c>
      <c r="C34" s="13" t="s">
        <v>147</v>
      </c>
      <c r="D34" s="14" t="s">
        <v>133</v>
      </c>
    </row>
    <row r="35" spans="1:4" s="4" customFormat="1">
      <c r="A35" s="13" t="s">
        <v>191</v>
      </c>
      <c r="B35" s="13" t="s">
        <v>189</v>
      </c>
      <c r="C35" s="13" t="s">
        <v>138</v>
      </c>
      <c r="D35" s="14" t="s">
        <v>133</v>
      </c>
    </row>
    <row r="36" spans="1:4" s="4" customFormat="1">
      <c r="A36" s="13" t="s">
        <v>192</v>
      </c>
      <c r="B36" s="13" t="s">
        <v>189</v>
      </c>
      <c r="C36" s="13" t="s">
        <v>134</v>
      </c>
      <c r="D36" s="14" t="s">
        <v>133</v>
      </c>
    </row>
    <row r="37" spans="1:4" s="4" customFormat="1">
      <c r="A37" s="13" t="s">
        <v>193</v>
      </c>
      <c r="B37" s="13" t="s">
        <v>189</v>
      </c>
      <c r="C37" s="13" t="s">
        <v>134</v>
      </c>
      <c r="D37" s="14" t="s">
        <v>133</v>
      </c>
    </row>
    <row r="38" spans="1:4" s="4" customFormat="1">
      <c r="A38" s="13" t="s">
        <v>194</v>
      </c>
      <c r="B38" s="13" t="s">
        <v>189</v>
      </c>
      <c r="C38" s="13" t="s">
        <v>134</v>
      </c>
      <c r="D38" s="14" t="s">
        <v>133</v>
      </c>
    </row>
    <row r="39" spans="1:4" s="4" customFormat="1">
      <c r="A39" s="13" t="s">
        <v>195</v>
      </c>
      <c r="B39" s="13" t="s">
        <v>189</v>
      </c>
      <c r="C39" s="13" t="s">
        <v>138</v>
      </c>
      <c r="D39" s="14" t="s">
        <v>133</v>
      </c>
    </row>
    <row r="40" spans="1:4" s="4" customFormat="1">
      <c r="A40" s="13" t="s">
        <v>196</v>
      </c>
      <c r="B40" s="13" t="s">
        <v>189</v>
      </c>
      <c r="C40" s="13" t="s">
        <v>134</v>
      </c>
      <c r="D40" s="14" t="s">
        <v>133</v>
      </c>
    </row>
    <row r="41" spans="1:4" s="4" customFormat="1">
      <c r="A41" s="13" t="s">
        <v>197</v>
      </c>
      <c r="B41" s="13" t="s">
        <v>189</v>
      </c>
      <c r="C41" s="13" t="s">
        <v>138</v>
      </c>
      <c r="D41" s="14" t="s">
        <v>133</v>
      </c>
    </row>
    <row r="43" spans="1:4">
      <c r="D43" s="23"/>
    </row>
  </sheetData>
  <pageMargins left="0.7" right="0.7" top="1.14375" bottom="1.143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zoomScaleNormal="100" workbookViewId="0">
      <selection activeCell="G21" sqref="G21"/>
    </sheetView>
  </sheetViews>
  <sheetFormatPr defaultColWidth="8.7109375" defaultRowHeight="12.75"/>
  <cols>
    <col min="1" max="1" width="29.85546875" customWidth="1"/>
    <col min="2" max="2" width="20.28515625" customWidth="1"/>
    <col min="3" max="3" width="39.28515625" customWidth="1"/>
    <col min="4" max="4" width="20.7109375" customWidth="1"/>
    <col min="5" max="5" width="18.42578125" customWidth="1"/>
    <col min="6" max="6" width="28" customWidth="1"/>
    <col min="7" max="7" width="20" customWidth="1"/>
    <col min="8" max="8" width="21.5703125" customWidth="1"/>
    <col min="9" max="9" width="16.85546875" customWidth="1"/>
    <col min="10" max="10" width="15.42578125" customWidth="1"/>
    <col min="11" max="11" width="17.7109375" customWidth="1"/>
    <col min="12" max="12" width="25.28515625" customWidth="1"/>
    <col min="13" max="13" width="9.140625" customWidth="1"/>
  </cols>
  <sheetData>
    <row r="1" spans="1:12" s="4" customFormat="1" ht="35.1">
      <c r="A1" s="16" t="s">
        <v>0</v>
      </c>
      <c r="B1" s="16" t="s">
        <v>198</v>
      </c>
      <c r="C1" s="16" t="s">
        <v>199</v>
      </c>
      <c r="D1" s="17" t="s">
        <v>200</v>
      </c>
      <c r="E1" s="16" t="s">
        <v>201</v>
      </c>
      <c r="F1" s="17" t="s">
        <v>202</v>
      </c>
      <c r="G1" s="17" t="s">
        <v>201</v>
      </c>
      <c r="H1" s="17" t="s">
        <v>203</v>
      </c>
      <c r="I1" s="17" t="s">
        <v>204</v>
      </c>
      <c r="J1" s="16" t="s">
        <v>205</v>
      </c>
      <c r="K1" s="17" t="s">
        <v>206</v>
      </c>
      <c r="L1" s="17" t="s">
        <v>207</v>
      </c>
    </row>
    <row r="2" spans="1:12" s="4" customFormat="1" ht="45" customHeight="1">
      <c r="A2" s="17" t="s">
        <v>208</v>
      </c>
      <c r="B2" s="16" t="s">
        <v>209</v>
      </c>
      <c r="C2" s="18" t="s">
        <v>210</v>
      </c>
      <c r="D2" s="18">
        <v>2</v>
      </c>
      <c r="E2" s="18">
        <v>83.33</v>
      </c>
      <c r="F2" s="18" t="s">
        <v>211</v>
      </c>
      <c r="G2" s="18" t="s">
        <v>212</v>
      </c>
      <c r="H2" s="19" t="s">
        <v>213</v>
      </c>
      <c r="I2" s="18">
        <v>6.5</v>
      </c>
      <c r="J2" s="20">
        <v>0.15</v>
      </c>
      <c r="K2" s="18">
        <v>7.48</v>
      </c>
      <c r="L2" s="17" t="s">
        <v>214</v>
      </c>
    </row>
    <row r="3" spans="1:12" s="4" customFormat="1" ht="46.35">
      <c r="A3" s="17" t="s">
        <v>215</v>
      </c>
      <c r="B3" s="16" t="s">
        <v>209</v>
      </c>
      <c r="C3" s="18" t="s">
        <v>216</v>
      </c>
      <c r="D3" s="18">
        <v>1.2</v>
      </c>
      <c r="E3" s="18">
        <v>83.33</v>
      </c>
      <c r="F3" s="21" t="s">
        <v>217</v>
      </c>
      <c r="G3" s="18" t="s">
        <v>218</v>
      </c>
      <c r="H3" s="19" t="s">
        <v>219</v>
      </c>
      <c r="I3" s="18" t="s">
        <v>220</v>
      </c>
      <c r="J3" s="20">
        <v>0.1</v>
      </c>
      <c r="K3" s="18" t="s">
        <v>221</v>
      </c>
      <c r="L3" s="17" t="s">
        <v>214</v>
      </c>
    </row>
    <row r="4" spans="1:12" s="4" customFormat="1" ht="83.25" customHeight="1">
      <c r="A4" s="17" t="s">
        <v>222</v>
      </c>
      <c r="B4" s="16" t="s">
        <v>209</v>
      </c>
      <c r="C4" s="18" t="s">
        <v>223</v>
      </c>
      <c r="D4" s="18">
        <v>2.7</v>
      </c>
      <c r="E4" s="18">
        <v>540</v>
      </c>
      <c r="F4" s="21" t="s">
        <v>224</v>
      </c>
      <c r="G4" s="18">
        <v>900</v>
      </c>
      <c r="H4" s="19" t="s">
        <v>225</v>
      </c>
      <c r="I4" s="18">
        <v>3</v>
      </c>
      <c r="J4" s="20">
        <v>0.2</v>
      </c>
      <c r="K4" s="18">
        <v>3.67</v>
      </c>
      <c r="L4" s="17" t="s">
        <v>226</v>
      </c>
    </row>
    <row r="5" spans="1:12" s="4" customFormat="1" ht="54.75" customHeight="1">
      <c r="A5" s="17" t="s">
        <v>227</v>
      </c>
      <c r="B5" s="16" t="s">
        <v>228</v>
      </c>
      <c r="C5" s="18" t="s">
        <v>223</v>
      </c>
      <c r="D5" s="18" t="s">
        <v>229</v>
      </c>
      <c r="E5" s="18" t="s">
        <v>229</v>
      </c>
      <c r="F5" s="18" t="s">
        <v>230</v>
      </c>
      <c r="G5" s="18">
        <v>250</v>
      </c>
      <c r="H5" s="19" t="s">
        <v>231</v>
      </c>
      <c r="I5" s="18">
        <v>1.19</v>
      </c>
      <c r="J5" s="20">
        <v>0.05</v>
      </c>
      <c r="K5" s="18">
        <v>1.25</v>
      </c>
      <c r="L5" s="17" t="s">
        <v>232</v>
      </c>
    </row>
    <row r="6" spans="1:12" s="4" customFormat="1" ht="30" customHeight="1">
      <c r="A6" s="17" t="s">
        <v>233</v>
      </c>
      <c r="B6" s="16" t="s">
        <v>228</v>
      </c>
      <c r="C6" s="18" t="s">
        <v>223</v>
      </c>
      <c r="D6" s="18" t="s">
        <v>229</v>
      </c>
      <c r="E6" s="18" t="s">
        <v>133</v>
      </c>
      <c r="F6" s="18" t="s">
        <v>229</v>
      </c>
      <c r="G6" s="18" t="s">
        <v>133</v>
      </c>
      <c r="H6" s="18" t="s">
        <v>133</v>
      </c>
      <c r="I6" s="18" t="s">
        <v>133</v>
      </c>
      <c r="J6" s="18" t="s">
        <v>133</v>
      </c>
      <c r="K6" s="18" t="s">
        <v>229</v>
      </c>
      <c r="L6" s="17"/>
    </row>
    <row r="7" spans="1:12" s="4" customForma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s="4" customFormat="1">
      <c r="A8" s="49" t="s">
        <v>234</v>
      </c>
      <c r="B8" s="49"/>
      <c r="C8" s="49"/>
      <c r="D8" s="49"/>
      <c r="E8" s="49"/>
      <c r="F8" s="22"/>
      <c r="G8" s="22"/>
      <c r="H8" s="22"/>
      <c r="I8" s="22"/>
      <c r="J8" s="22"/>
      <c r="K8" s="22"/>
      <c r="L8" s="22"/>
    </row>
    <row r="9" spans="1:12" s="4" customFormat="1">
      <c r="A9" s="49" t="s">
        <v>235</v>
      </c>
      <c r="B9" s="49"/>
      <c r="C9" s="49"/>
      <c r="D9" s="49"/>
      <c r="E9" s="49"/>
      <c r="F9" s="22"/>
      <c r="G9" s="22"/>
      <c r="H9" s="22"/>
      <c r="I9" s="22"/>
      <c r="J9" s="22"/>
      <c r="K9" s="22"/>
      <c r="L9" s="22"/>
    </row>
    <row r="10" spans="1:12" s="4" customFormat="1">
      <c r="A10" s="50" t="s">
        <v>236</v>
      </c>
      <c r="B10" s="50"/>
      <c r="C10" s="50"/>
      <c r="D10" s="50"/>
      <c r="E10" s="50"/>
      <c r="F10" s="22"/>
      <c r="G10" s="22"/>
      <c r="H10" s="22"/>
      <c r="I10" s="22"/>
      <c r="J10" s="22"/>
      <c r="K10" s="22"/>
      <c r="L10" s="22"/>
    </row>
    <row r="11" spans="1:12" s="4" customForma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4" customForma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s="4" customFormat="1">
      <c r="A13" s="22" t="s">
        <v>237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s="4" customFormat="1">
      <c r="A14" s="22" t="s">
        <v>238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s="4" customFormat="1">
      <c r="A15" s="22" t="s">
        <v>239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s="4" customFormat="1">
      <c r="A16" s="22" t="s">
        <v>240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s="4" customFormat="1">
      <c r="A17" s="22" t="s">
        <v>241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s="4" customFormat="1">
      <c r="A18" s="22" t="s">
        <v>242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s="4" customFormat="1">
      <c r="A19" s="22" t="s">
        <v>243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s="4" customFormat="1">
      <c r="A20" s="22" t="s">
        <v>244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s="4" customFormat="1">
      <c r="A21" s="22" t="s">
        <v>245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s="4" customFormat="1">
      <c r="A22" s="22" t="s">
        <v>246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s="4" customFormat="1">
      <c r="A23" s="22" t="s">
        <v>247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s="4" customFormat="1">
      <c r="A24" s="22" t="s">
        <v>248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s="4" customFormat="1">
      <c r="A25" s="22" t="s">
        <v>249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s="4" customFormat="1">
      <c r="A26" s="22" t="s">
        <v>27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s="4" customFormat="1">
      <c r="A27" s="22" t="s">
        <v>250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s="4" customFormat="1">
      <c r="A28" s="22" t="s">
        <v>251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</sheetData>
  <mergeCells count="3">
    <mergeCell ref="A8:E8"/>
    <mergeCell ref="A9:E9"/>
    <mergeCell ref="A10:E10"/>
  </mergeCells>
  <hyperlinks>
    <hyperlink ref="A15" r:id="rId1" xr:uid="{00000000-0004-0000-0100-000000000000}"/>
    <hyperlink ref="A16" r:id="rId2" xr:uid="{00000000-0004-0000-0100-000001000000}"/>
  </hyperlinks>
  <pageMargins left="0" right="0" top="0.64861111111111103" bottom="0.64861111111111103" header="0" footer="0"/>
  <pageSetup paperSize="9" orientation="portrait" horizontalDpi="300" verticalDpi="300"/>
  <headerFooter>
    <oddHeader>&amp;C&amp;"Arial1,Regular"&amp;A</oddHeader>
    <oddFooter>&amp;C&amp;"Arial1,Regular"Page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be38dd-96ed-4545-b5bb-0f5f9764c2bb" xsi:nil="true"/>
    <lcf76f155ced4ddcb4097134ff3c332f xmlns="e31bdc52-4d18-4510-910a-4fbcc60715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99A7E1E6086642B7C0ACFE7BE1CDA2" ma:contentTypeVersion="11" ma:contentTypeDescription="Create a new document." ma:contentTypeScope="" ma:versionID="6c0a3466feb48cac2f0c51d0eaaa3aea">
  <xsd:schema xmlns:xsd="http://www.w3.org/2001/XMLSchema" xmlns:xs="http://www.w3.org/2001/XMLSchema" xmlns:p="http://schemas.microsoft.com/office/2006/metadata/properties" xmlns:ns2="e31bdc52-4d18-4510-910a-4fbcc60715fc" xmlns:ns3="93be38dd-96ed-4545-b5bb-0f5f9764c2bb" targetNamespace="http://schemas.microsoft.com/office/2006/metadata/properties" ma:root="true" ma:fieldsID="3b56c5461bec0e586be0612e6a706580" ns2:_="" ns3:_="">
    <xsd:import namespace="e31bdc52-4d18-4510-910a-4fbcc60715fc"/>
    <xsd:import namespace="93be38dd-96ed-4545-b5bb-0f5f9764c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dc52-4d18-4510-910a-4fbcc60715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728a8d2-fce2-4ead-88e1-13feca968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e38dd-96ed-4545-b5bb-0f5f9764c2b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2043446-68fd-47e5-a66a-d22bdc951593}" ma:internalName="TaxCatchAll" ma:showField="CatchAllData" ma:web="93be38dd-96ed-4545-b5bb-0f5f9764c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783BE-1E6C-4C6E-A9F3-1D98D255CD5B}"/>
</file>

<file path=customXml/itemProps2.xml><?xml version="1.0" encoding="utf-8"?>
<ds:datastoreItem xmlns:ds="http://schemas.openxmlformats.org/officeDocument/2006/customXml" ds:itemID="{CC49D6BE-033E-4106-A1C1-DA05F4357C8C}"/>
</file>

<file path=customXml/itemProps3.xml><?xml version="1.0" encoding="utf-8"?>
<ds:datastoreItem xmlns:ds="http://schemas.openxmlformats.org/officeDocument/2006/customXml" ds:itemID="{58EA01AC-A922-4C2F-B53A-70E9903C0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</cp:revision>
  <dcterms:created xsi:type="dcterms:W3CDTF">2026-02-06T11:49:52Z</dcterms:created>
  <dcterms:modified xsi:type="dcterms:W3CDTF">2026-07-24T00:26:34Z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0x010100C099A7E1E6086642B7C0ACFE7BE1CDA2</vt:lpwstr>
  </property>
  <property fmtid="{D5CDD505-2E9C-101B-9397-08002B2CF9AE}" pid="3" name="MediaServiceImageTags">
    <vt:lpwstr/>
  </property>
</Properties>
</file>